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first" sheetId="1" state="visible" r:id="rId1"/>
    <sheet xmlns:r="http://schemas.openxmlformats.org/officeDocument/2006/relationships" name="Assumptions register" sheetId="2" state="visible" r:id="rId2"/>
    <sheet xmlns:r="http://schemas.openxmlformats.org/officeDocument/2006/relationships" name="Sources" sheetId="3" state="visible" r:id="rId3"/>
    <sheet xmlns:r="http://schemas.openxmlformats.org/officeDocument/2006/relationships" name="Reconciliation checks" sheetId="4" state="visible" r:id="rId4"/>
  </sheets>
  <definedNames>
    <definedName name="_xlnm._FilterDatabase" localSheetId="1" hidden="1">'Assumptions register'!$A$4:$G$220</definedName>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0;[Red](#,##0.00);&quot;-&quot;"/>
  </numFmts>
  <fonts count="33">
    <font>
      <name val="Calibri"/>
      <family val="2"/>
      <color theme="1"/>
      <sz val="11"/>
      <scheme val="minor"/>
    </font>
    <font>
      <name val="Calibri"/>
      <b val="1"/>
      <color rgb="0012324F"/>
      <sz val="16"/>
    </font>
    <font>
      <name val="Calibri"/>
      <i val="1"/>
      <color rgb="005F6B7A"/>
      <sz val="10"/>
    </font>
    <font>
      <name val="Calibri"/>
      <b val="1"/>
      <color rgb="0012324F"/>
      <sz val="11.5"/>
    </font>
    <font>
      <name val="Calibri"/>
      <color rgb="001A1A1A"/>
      <sz val="10"/>
    </font>
    <font>
      <name val="Calibri"/>
      <b val="1"/>
      <color rgb="001B5E20"/>
      <sz val="10"/>
    </font>
    <font>
      <name val="Calibri"/>
      <b val="1"/>
      <color rgb="000D47A1"/>
      <sz val="10"/>
    </font>
    <font>
      <name val="Calibri"/>
      <b val="1"/>
      <color rgb="004A148C"/>
      <sz val="10"/>
    </font>
    <font>
      <name val="Calibri"/>
      <b val="1"/>
      <color rgb="00B71C1C"/>
      <sz val="10"/>
    </font>
    <font>
      <name val="Consolas"/>
      <color rgb="001B5E20"/>
      <sz val="10"/>
    </font>
    <font>
      <name val="Consolas"/>
      <color rgb="000D47A1"/>
      <sz val="10"/>
    </font>
    <font>
      <name val="Consolas"/>
      <color rgb="004A148C"/>
      <sz val="10"/>
    </font>
    <font>
      <name val="Consolas"/>
      <color rgb="00B71C1C"/>
      <sz val="10"/>
    </font>
    <font>
      <name val="Consolas"/>
      <b val="1"/>
      <color rgb="001A1A1A"/>
      <sz val="10"/>
    </font>
    <font>
      <name val="Calibri"/>
      <i val="1"/>
      <color rgb="009A3412"/>
      <sz val="9"/>
    </font>
    <font>
      <name val="Calibri"/>
      <b val="1"/>
      <color rgb="0012324F"/>
      <sz val="15"/>
    </font>
    <font>
      <name val="Calibri"/>
      <i val="1"/>
      <color rgb="005F6B7A"/>
      <sz val="9.5"/>
    </font>
    <font>
      <name val="Calibri"/>
      <b val="1"/>
      <color rgb="0012324F"/>
      <sz val="10"/>
    </font>
    <font>
      <name val="Calibri"/>
      <color rgb="001A1A1A"/>
      <sz val="9"/>
    </font>
    <font>
      <name val="Calibri"/>
      <color rgb="001A1A1A"/>
      <sz val="9.5"/>
    </font>
    <font>
      <name val="Calibri"/>
      <i val="1"/>
      <color rgb="005F6B7A"/>
      <sz val="9"/>
    </font>
    <font>
      <name val="Calibri"/>
      <color rgb="005F6B7A"/>
      <sz val="9"/>
    </font>
    <font>
      <name val="Calibri"/>
      <b val="1"/>
      <color rgb="00FFFFFF"/>
      <sz val="8.5"/>
    </font>
    <font>
      <name val="Calibri"/>
      <color rgb="005F6B7A"/>
      <sz val="8"/>
    </font>
    <font>
      <name val="Calibri"/>
      <color rgb="001A1A1A"/>
      <sz val="8.5"/>
    </font>
    <font>
      <name val="Calibri"/>
      <color rgb="000033CC"/>
      <sz val="10"/>
    </font>
    <font>
      <name val="Calibri"/>
      <color rgb="000563C1"/>
      <sz val="8"/>
      <u val="single"/>
    </font>
    <font>
      <name val="Calibri"/>
      <b val="1"/>
      <color rgb="00FFFFFF"/>
      <sz val="11"/>
    </font>
    <font>
      <name val="Calibri"/>
      <sz val="10"/>
    </font>
    <font>
      <name val="Calibri"/>
      <b val="1"/>
      <sz val="10"/>
    </font>
    <font>
      <name val="Calibri"/>
      <color rgb="005F6B7A"/>
      <sz val="8.5"/>
    </font>
    <font>
      <name val="Calibri"/>
      <b val="1"/>
      <color rgb="001A1A1A"/>
      <sz val="10"/>
    </font>
    <font>
      <name val="Calibri"/>
      <b val="1"/>
      <sz val="11"/>
    </font>
  </fonts>
  <fills count="9">
    <fill>
      <patternFill/>
    </fill>
    <fill>
      <patternFill patternType="gray125"/>
    </fill>
    <fill>
      <patternFill patternType="solid">
        <fgColor rgb="00E8EEF4"/>
      </patternFill>
    </fill>
    <fill>
      <patternFill patternType="solid">
        <fgColor rgb="001B5E20"/>
      </patternFill>
    </fill>
    <fill>
      <patternFill patternType="solid">
        <fgColor rgb="00F5F8FA"/>
      </patternFill>
    </fill>
    <fill>
      <patternFill patternType="solid">
        <fgColor rgb="000D47A1"/>
      </patternFill>
    </fill>
    <fill>
      <patternFill patternType="solid">
        <fgColor rgb="004A148C"/>
      </patternFill>
    </fill>
    <fill>
      <patternFill patternType="solid">
        <fgColor rgb="00B71C1C"/>
      </patternFill>
    </fill>
    <fill>
      <patternFill patternType="solid">
        <fgColor rgb="0012324F"/>
      </patternFill>
    </fill>
  </fills>
  <borders count="3">
    <border>
      <left/>
      <right/>
      <top/>
      <bottom/>
      <diagonal/>
    </border>
    <border>
      <bottom style="medium">
        <color rgb="0012324F"/>
      </bottom>
    </border>
    <border>
      <left style="thin">
        <color rgb="00C7D2DC"/>
      </left>
      <right style="thin">
        <color rgb="00C7D2DC"/>
      </right>
      <top style="thin">
        <color rgb="00C7D2DC"/>
      </top>
      <bottom style="medium">
        <color rgb="0012324F"/>
      </bottom>
    </border>
  </borders>
  <cellStyleXfs count="1">
    <xf numFmtId="0" fontId="0" fillId="0" borderId="0"/>
  </cellStyleXfs>
  <cellXfs count="6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0" pivotButton="0" quotePrefix="0" xfId="0"/>
    <xf numFmtId="0" fontId="11" fillId="0" borderId="0" pivotButton="0" quotePrefix="0" xfId="0"/>
    <xf numFmtId="0" fontId="12" fillId="0" borderId="0" pivotButton="0" quotePrefix="0" xfId="0"/>
    <xf numFmtId="0" fontId="13" fillId="0" borderId="0" pivotButton="0" quotePrefix="0" xfId="0"/>
    <xf numFmtId="0" fontId="14" fillId="0" borderId="0" applyAlignment="1" pivotButton="0" quotePrefix="0" xfId="0">
      <alignment vertical="top" wrapText="1"/>
    </xf>
    <xf numFmtId="0" fontId="15" fillId="0" borderId="0" applyAlignment="1" pivotButton="0" quotePrefix="0" xfId="0">
      <alignment vertical="center"/>
    </xf>
    <xf numFmtId="0" fontId="16" fillId="0" borderId="0" applyAlignment="1" pivotButton="0" quotePrefix="0" xfId="0">
      <alignment vertical="top"/>
    </xf>
    <xf numFmtId="0" fontId="0" fillId="0" borderId="1" pivotButton="0" quotePrefix="0" xfId="0"/>
    <xf numFmtId="0" fontId="17" fillId="2" borderId="2" applyAlignment="1" pivotButton="0" quotePrefix="0" xfId="0">
      <alignment horizontal="left" vertical="center" wrapText="1"/>
    </xf>
    <xf numFmtId="0" fontId="17" fillId="2" borderId="2" applyAlignment="1" pivotButton="0" quotePrefix="0" xfId="0">
      <alignment horizontal="center" vertical="center" wrapText="1"/>
    </xf>
    <xf numFmtId="0" fontId="18" fillId="0" borderId="0" applyAlignment="1" pivotButton="0" quotePrefix="0" xfId="0">
      <alignment horizontal="left" vertical="center"/>
    </xf>
    <xf numFmtId="0" fontId="19" fillId="0" borderId="0" applyAlignment="1" pivotButton="0" quotePrefix="0" xfId="0">
      <alignment horizontal="left" vertical="center"/>
    </xf>
    <xf numFmtId="0" fontId="20" fillId="0" borderId="0" applyAlignment="1" pivotButton="0" quotePrefix="0" xfId="0">
      <alignment horizontal="left"/>
    </xf>
    <xf numFmtId="0" fontId="21" fillId="0" borderId="0" applyAlignment="1" pivotButton="0" quotePrefix="0" xfId="0">
      <alignment horizontal="left" vertical="center"/>
    </xf>
    <xf numFmtId="0" fontId="22" fillId="3" borderId="0" applyAlignment="1" pivotButton="0" quotePrefix="0" xfId="0">
      <alignment horizontal="center" vertical="center"/>
    </xf>
    <xf numFmtId="0" fontId="23" fillId="0" borderId="0" applyAlignment="1" pivotButton="0" quotePrefix="0" xfId="0">
      <alignment vertical="top" wrapText="1"/>
    </xf>
    <xf numFmtId="0" fontId="24" fillId="0" borderId="0" applyAlignment="1" pivotButton="0" quotePrefix="0" xfId="0">
      <alignment vertical="top" wrapText="1"/>
    </xf>
    <xf numFmtId="0" fontId="18" fillId="4" borderId="0" applyAlignment="1" pivotButton="0" quotePrefix="0" xfId="0">
      <alignment horizontal="left" vertical="center"/>
    </xf>
    <xf numFmtId="0" fontId="19" fillId="4" borderId="0" applyAlignment="1" pivotButton="0" quotePrefix="0" xfId="0">
      <alignment horizontal="left" vertical="center"/>
    </xf>
    <xf numFmtId="0" fontId="20" fillId="4" borderId="0" applyAlignment="1" pivotButton="0" quotePrefix="0" xfId="0">
      <alignment horizontal="left"/>
    </xf>
    <xf numFmtId="0" fontId="21" fillId="4" borderId="0" applyAlignment="1" pivotButton="0" quotePrefix="0" xfId="0">
      <alignment horizontal="left" vertical="center"/>
    </xf>
    <xf numFmtId="0" fontId="22" fillId="4" borderId="0" applyAlignment="1" pivotButton="0" quotePrefix="0" xfId="0">
      <alignment horizontal="center" vertical="center"/>
    </xf>
    <xf numFmtId="0" fontId="23" fillId="4" borderId="0" applyAlignment="1" pivotButton="0" quotePrefix="0" xfId="0">
      <alignment vertical="top" wrapText="1"/>
    </xf>
    <xf numFmtId="0" fontId="24" fillId="4" borderId="0" applyAlignment="1" pivotButton="0" quotePrefix="0" xfId="0">
      <alignment vertical="top" wrapText="1"/>
    </xf>
    <xf numFmtId="1" fontId="4" fillId="0" borderId="0" applyAlignment="1" pivotButton="0" quotePrefix="0" xfId="0">
      <alignment horizontal="right" vertical="center"/>
    </xf>
    <xf numFmtId="3" fontId="4" fillId="4" borderId="0" applyAlignment="1" pivotButton="0" quotePrefix="0" xfId="0">
      <alignment horizontal="right" vertical="center"/>
    </xf>
    <xf numFmtId="3" fontId="4" fillId="0" borderId="0" applyAlignment="1" pivotButton="0" quotePrefix="0" xfId="0">
      <alignment horizontal="right" vertical="center"/>
    </xf>
    <xf numFmtId="0" fontId="22" fillId="5" borderId="0" applyAlignment="1" pivotButton="0" quotePrefix="0" xfId="0">
      <alignment horizontal="center" vertical="center"/>
    </xf>
    <xf numFmtId="2" fontId="4" fillId="0" borderId="0" applyAlignment="1" pivotButton="0" quotePrefix="0" xfId="0">
      <alignment horizontal="right" vertical="center"/>
    </xf>
    <xf numFmtId="0" fontId="22" fillId="6" borderId="0" applyAlignment="1" pivotButton="0" quotePrefix="0" xfId="0">
      <alignment horizontal="center" vertical="center"/>
    </xf>
    <xf numFmtId="164" fontId="4" fillId="4" borderId="0" applyAlignment="1" pivotButton="0" quotePrefix="0" xfId="0">
      <alignment horizontal="right" vertical="center"/>
    </xf>
    <xf numFmtId="2" fontId="4" fillId="4" borderId="0" applyAlignment="1" pivotButton="0" quotePrefix="0" xfId="0">
      <alignment horizontal="right" vertical="center"/>
    </xf>
    <xf numFmtId="164" fontId="25" fillId="0" borderId="0" applyAlignment="1" pivotButton="0" quotePrefix="0" xfId="0">
      <alignment horizontal="right" vertical="center"/>
    </xf>
    <xf numFmtId="0" fontId="22" fillId="7" borderId="0" applyAlignment="1" pivotButton="0" quotePrefix="0" xfId="0">
      <alignment horizontal="center" vertical="center"/>
    </xf>
    <xf numFmtId="164" fontId="25" fillId="4" borderId="0" applyAlignment="1" pivotButton="0" quotePrefix="0" xfId="0">
      <alignment horizontal="right" vertical="center"/>
    </xf>
    <xf numFmtId="3" fontId="25" fillId="4" borderId="0" applyAlignment="1" pivotButton="0" quotePrefix="0" xfId="0">
      <alignment horizontal="right" vertical="center"/>
    </xf>
    <xf numFmtId="4" fontId="4" fillId="0" borderId="0" applyAlignment="1" pivotButton="0" quotePrefix="0" xfId="0">
      <alignment horizontal="right" vertical="center"/>
    </xf>
    <xf numFmtId="3" fontId="25" fillId="0" borderId="0" applyAlignment="1" pivotButton="0" quotePrefix="0" xfId="0">
      <alignment horizontal="right" vertical="center"/>
    </xf>
    <xf numFmtId="4" fontId="4" fillId="4" borderId="0" applyAlignment="1" pivotButton="0" quotePrefix="0" xfId="0">
      <alignment horizontal="right" vertical="center"/>
    </xf>
    <xf numFmtId="165" fontId="25" fillId="4" borderId="0" applyAlignment="1" pivotButton="0" quotePrefix="0" xfId="0">
      <alignment horizontal="right" vertical="center"/>
    </xf>
    <xf numFmtId="165" fontId="25" fillId="0" borderId="0" applyAlignment="1" pivotButton="0" quotePrefix="0" xfId="0">
      <alignment horizontal="right" vertical="center"/>
    </xf>
    <xf numFmtId="10" fontId="4" fillId="0" borderId="0" applyAlignment="1" pivotButton="0" quotePrefix="0" xfId="0">
      <alignment horizontal="right" vertical="center"/>
    </xf>
    <xf numFmtId="0" fontId="17" fillId="0" borderId="0" applyAlignment="1" pivotButton="0" quotePrefix="0" xfId="0">
      <alignment vertical="top" wrapText="1"/>
    </xf>
    <xf numFmtId="0" fontId="18" fillId="0" borderId="0" applyAlignment="1" pivotButton="0" quotePrefix="0" xfId="0">
      <alignment vertical="top" wrapText="1"/>
    </xf>
    <xf numFmtId="0" fontId="26" fillId="0" borderId="0" applyAlignment="1" pivotButton="0" quotePrefix="0" xfId="0">
      <alignment vertical="top" wrapText="1"/>
    </xf>
    <xf numFmtId="0" fontId="27" fillId="8" borderId="0" pivotButton="0" quotePrefix="0" xfId="0"/>
    <xf numFmtId="0" fontId="0" fillId="8" borderId="0" pivotButton="0" quotePrefix="0" xfId="0"/>
    <xf numFmtId="166" fontId="4" fillId="0" borderId="0" applyAlignment="1" pivotButton="0" quotePrefix="0" xfId="0">
      <alignment horizontal="right" vertical="center"/>
    </xf>
    <xf numFmtId="166" fontId="28" fillId="0" borderId="0" applyAlignment="1" pivotButton="0" quotePrefix="0" xfId="0">
      <alignment horizontal="right"/>
    </xf>
    <xf numFmtId="0" fontId="29" fillId="0" borderId="0" applyAlignment="1" pivotButton="0" quotePrefix="0" xfId="0">
      <alignment horizontal="center"/>
    </xf>
    <xf numFmtId="0" fontId="30" fillId="0" borderId="0" applyAlignment="1" pivotButton="0" quotePrefix="0" xfId="0">
      <alignment vertical="top" wrapText="1"/>
    </xf>
    <xf numFmtId="0" fontId="31" fillId="0" borderId="0" applyAlignment="1" pivotButton="0" quotePrefix="0" xfId="0">
      <alignment horizontal="left" vertical="center"/>
    </xf>
    <xf numFmtId="0" fontId="32" fillId="0" borderId="0" applyAlignment="1" pivotButton="0" quotePrefix="0" xfId="0">
      <alignment horizontal="center"/>
    </xf>
    <xf numFmtId="0" fontId="2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AssumptionsRegister" displayName="AssumptionsRegister" ref="A4:G220" headerRowCount="1">
  <autoFilter ref="A4:G220"/>
  <tableColumns count="7">
    <tableColumn id="1" name="Section"/>
    <tableColumn id="2" name="Input"/>
    <tableColumn id="3" name="Value"/>
    <tableColumn id="4" name="Unit"/>
    <tableColumn id="5" name="Tier"/>
    <tableColumn id="6" name="Source"/>
    <tableColumn id="7" name="Why it is what it is"/>
  </tableColumns>
  <tableStyleInfo name="TableStyleLight1" showRow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tabColor rgb="0012324F"/>
    <outlinePr summaryBelow="1" summaryRight="1"/>
    <pageSetUpPr/>
  </sheetPr>
  <dimension ref="B2:B36"/>
  <sheetViews>
    <sheetView showGridLines="0" workbookViewId="0">
      <selection activeCell="A1" sqref="A1"/>
    </sheetView>
  </sheetViews>
  <sheetFormatPr baseColWidth="8" defaultRowHeight="15"/>
  <cols>
    <col width="3" customWidth="1" min="1" max="1"/>
    <col width="108" customWidth="1" min="2" max="2"/>
  </cols>
  <sheetData>
    <row r="2">
      <c r="B2" s="1" t="inlineStr">
        <is>
          <t>Nonprofit Financial Planning, Scenario Forecasting and Impact Measurement</t>
        </is>
      </c>
    </row>
    <row r="3">
      <c r="B3" s="2" t="inlineStr">
        <is>
          <t>Assumptions register  |  Upwardly Global (EIN 94-3346127)  |  as of FY2024 Form 990, filed 2025-10-17</t>
        </is>
      </c>
    </row>
    <row r="5">
      <c r="B5" s="3" t="inlineStr">
        <is>
          <t>What this project is</t>
        </is>
      </c>
    </row>
    <row r="6" ht="56" customHeight="1">
      <c r="B6" s="4" t="inlineStr">
        <is>
          <t>An independent financial planning and impact measurement model for a real US nonprofit, built entirely from public data plus clearly labelled analyst assumptions. It answers one question: how should this organization allocate limited funding across its programs while staying financially sustainable and maximizing measurable impact?</t>
        </is>
      </c>
    </row>
    <row r="8">
      <c r="B8" s="3" t="inlineStr">
        <is>
          <t>What is real</t>
        </is>
      </c>
    </row>
    <row r="9" ht="56" customHeight="1">
      <c r="B9" s="4" t="inlineStr">
        <is>
          <t>All historical financial totals are taken verbatim from IRS Form 990 filings for FY2019 through FY2024. All published impact metrics - participants served, placements, average starting salary, average salary gain - are taken from the organization's own public reporting. Sector benchmarks are cited to BBB Wise Giving Alliance and Propel Nonprofits.</t>
        </is>
      </c>
    </row>
    <row r="11">
      <c r="B11" s="3" t="inlineStr">
        <is>
          <t>What is not real</t>
        </is>
      </c>
    </row>
    <row r="12" ht="56" customHeight="1">
      <c r="B12" s="4" t="inlineStr">
        <is>
          <t>Everything below the reported totals is modelled: the split of expenses into program, administrative and fundraising categories; the four-program portfolio and its unit economics; the composition of the balance sheet; the donor-count and average-gift drivers; and every forward-looking number in the model. None of the forecasts are the organization's plans, budget or guidance, and none should be attributed to it.</t>
        </is>
      </c>
    </row>
    <row r="14">
      <c r="B14" s="3" t="inlineStr">
        <is>
          <t>The rule that keeps this honest</t>
        </is>
      </c>
    </row>
    <row r="15" ht="56" customHeight="1">
      <c r="B15" s="4" t="inlineStr">
        <is>
          <t>Where a public control total exists, the modelled composition must reconcile to it exactly. The four programs' costs sum to the modelled program expense pool, which is a fixed percentage of the filed total expense figure. The five revenue categories sum to the filed contributions total. The balance sheet lines sum to filed total assets. The composition is assumed; the totals are real.</t>
        </is>
      </c>
    </row>
    <row r="17">
      <c r="B17" s="3" t="inlineStr">
        <is>
          <t>How to read the tiers</t>
        </is>
      </c>
    </row>
    <row r="18" ht="56" customHeight="1">
      <c r="B18" s="4" t="inlineStr">
        <is>
          <t>Every row in the register carries one of four provenance tags. PUBLIC means verbatim from a filing. DERIVED means arithmetic on public values only, by a stated method. BENCHMARK means a published sector standard. SYNTHETIC means an analyst assumption. Filter the register by tier to see exactly how much of the model rests on judgement.</t>
        </is>
      </c>
    </row>
    <row r="20">
      <c r="B20" s="3" t="inlineStr">
        <is>
          <t>Where to go next</t>
        </is>
      </c>
    </row>
    <row r="21" ht="56" customHeight="1">
      <c r="B21" s="4" t="inlineStr">
        <is>
          <t>03_Nonprofit_Financial_Model.xlsx holds the historical analysis and the three-year forecast and is the centre of the project. 05_Scenario_Model.xlsx holds the Base, Upside and Downside cases and the funding sensitivity work. 06_Program_Economics.xlsx compares the programs. 07_Resource_Allocation_Model.xlsx solves the allocation question. 09_Management_Report.pdf explains what all of it means.</t>
        </is>
      </c>
    </row>
    <row r="23">
      <c r="B23" s="3" t="inlineStr">
        <is>
          <t>Provenance key</t>
        </is>
      </c>
    </row>
    <row r="24">
      <c r="B24" s="5" t="inlineStr">
        <is>
          <t>PUBLIC   -   Verbatim from a public filing or publication</t>
        </is>
      </c>
    </row>
    <row r="25">
      <c r="B25" s="6" t="inlineStr">
        <is>
          <t>DERIVED   -   Arithmetic on public values only, by the stated method</t>
        </is>
      </c>
    </row>
    <row r="26">
      <c r="B26" s="7" t="inlineStr">
        <is>
          <t>BENCHMARK   -   Published sector standard or peer statistic</t>
        </is>
      </c>
    </row>
    <row r="27">
      <c r="B27" s="8" t="inlineStr">
        <is>
          <t>SYNTHETIC   -   Analyst assumption - not organizational data or guidance</t>
        </is>
      </c>
    </row>
    <row r="29">
      <c r="B29" s="3" t="inlineStr">
        <is>
          <t>Composition of this model</t>
        </is>
      </c>
    </row>
    <row r="30">
      <c r="B30" s="9" t="inlineStr">
        <is>
          <t>PUBLIC        56 inputs   (26%)</t>
        </is>
      </c>
    </row>
    <row r="31">
      <c r="B31" s="10" t="inlineStr">
        <is>
          <t>DERIVED       19 inputs   (9%)</t>
        </is>
      </c>
    </row>
    <row r="32">
      <c r="B32" s="11" t="inlineStr">
        <is>
          <t>BENCHMARK      6 inputs   (3%)</t>
        </is>
      </c>
    </row>
    <row r="33">
      <c r="B33" s="12" t="inlineStr">
        <is>
          <t>SYNTHETIC    135 inputs   (62%)</t>
        </is>
      </c>
    </row>
    <row r="34">
      <c r="B34" s="13" t="inlineStr">
        <is>
          <t>TOTAL        216 inputs</t>
        </is>
      </c>
    </row>
    <row r="36" ht="42" customHeight="1">
      <c r="B36" s="14" t="inlineStr">
        <is>
          <t>Disclaimer. This is an independent analytical exercise prepared from public information for portfolio and educational purposes. It is not affiliated with, endorsed by, or reviewed by Upwardly Global. It is not financial advice and it is not a representation of the organization's financial position, plans or prospects. Forward-looking figures are the author's assumptions.</t>
        </is>
      </c>
    </row>
  </sheetData>
  <pageMargins left="0.75" right="0.75" top="1" bottom="1" header="0.5" footer="0.5"/>
</worksheet>
</file>

<file path=xl/worksheets/sheet2.xml><?xml version="1.0" encoding="utf-8"?>
<worksheet xmlns="http://schemas.openxmlformats.org/spreadsheetml/2006/main">
  <sheetPr>
    <tabColor rgb="000B6E4F"/>
    <outlinePr summaryBelow="1" summaryRight="1"/>
    <pageSetUpPr/>
  </sheetPr>
  <dimension ref="A1:G220"/>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0" customWidth="1" min="1" max="1"/>
    <col width="46" customWidth="1" min="2" max="2"/>
    <col width="18" customWidth="1" min="3" max="3"/>
    <col width="20" customWidth="1" min="4" max="4"/>
    <col width="12" customWidth="1" min="5" max="5"/>
    <col width="58" customWidth="1" min="6" max="6"/>
    <col width="74" customWidth="1" min="7" max="7"/>
  </cols>
  <sheetData>
    <row r="1" ht="24" customHeight="1">
      <c r="A1" s="15" t="inlineStr">
        <is>
          <t>Assumptions register</t>
        </is>
      </c>
    </row>
    <row r="2">
      <c r="A2" s="16" t="inlineStr">
        <is>
          <t>Every input used anywhere in this project, with its provenance. Filter column E to isolate a tier.</t>
        </is>
      </c>
    </row>
    <row r="3">
      <c r="A3" s="17" t="n"/>
      <c r="B3" s="17" t="n"/>
      <c r="C3" s="17" t="n"/>
      <c r="D3" s="17" t="n"/>
      <c r="E3" s="17" t="n"/>
      <c r="F3" s="17" t="n"/>
      <c r="G3" s="17" t="n"/>
    </row>
    <row r="4" ht="30" customHeight="1">
      <c r="A4" s="18" t="inlineStr">
        <is>
          <t>Section</t>
        </is>
      </c>
      <c r="B4" s="19" t="inlineStr">
        <is>
          <t>Input</t>
        </is>
      </c>
      <c r="C4" s="19" t="inlineStr">
        <is>
          <t>Value</t>
        </is>
      </c>
      <c r="D4" s="19" t="inlineStr">
        <is>
          <t>Unit</t>
        </is>
      </c>
      <c r="E4" s="19" t="inlineStr">
        <is>
          <t>Tier</t>
        </is>
      </c>
      <c r="F4" s="19" t="inlineStr">
        <is>
          <t>Source</t>
        </is>
      </c>
      <c r="G4" s="19" t="inlineStr">
        <is>
          <t>Why it is what it is</t>
        </is>
      </c>
    </row>
    <row r="5" ht="26" customHeight="1">
      <c r="A5" s="20" t="inlineStr">
        <is>
          <t>1. Organization and scope</t>
        </is>
      </c>
      <c r="B5" s="21" t="inlineStr">
        <is>
          <t>Anchor organization</t>
        </is>
      </c>
      <c r="C5" s="22" t="inlineStr">
        <is>
          <t>Upwardly Global</t>
        </is>
      </c>
      <c r="D5" s="23" t="inlineStr">
        <is>
          <t>text</t>
        </is>
      </c>
      <c r="E5" s="24" t="inlineStr">
        <is>
          <t>PUBLIC</t>
        </is>
      </c>
      <c r="F5" s="25" t="inlineStr">
        <is>
          <t>IRS Form 990 via ProPublica Nonprofit Explorer, EIN 94-3346127 - https://projects.propublica.org/nonprofits/organizations/943346127</t>
        </is>
      </c>
      <c r="G5" s="26" t="inlineStr">
        <is>
          <t>Selected for eleven years of machine-readable 990 data, a published impact record, and a genuinely unresolved financial planning question.</t>
        </is>
      </c>
    </row>
    <row r="6" ht="26" customHeight="1">
      <c r="A6" s="27" t="inlineStr">
        <is>
          <t>1. Organization and scope</t>
        </is>
      </c>
      <c r="B6" s="28" t="inlineStr">
        <is>
          <t>EIN</t>
        </is>
      </c>
      <c r="C6" s="29" t="inlineStr">
        <is>
          <t>94-3346127</t>
        </is>
      </c>
      <c r="D6" s="30" t="inlineStr">
        <is>
          <t>text</t>
        </is>
      </c>
      <c r="E6" s="31" t="inlineStr">
        <is>
          <t>PUBLIC</t>
        </is>
      </c>
      <c r="F6" s="32" t="inlineStr">
        <is>
          <t>IRS Form 990 via ProPublica Nonprofit Explorer, EIN 94-3346127 - https://projects.propublica.org/nonprofits/organizations/943346127</t>
        </is>
      </c>
      <c r="G6" s="33" t="inlineStr">
        <is>
          <t>Employer Identification Number as filed.</t>
        </is>
      </c>
    </row>
    <row r="7" ht="26" customHeight="1">
      <c r="A7" s="20" t="inlineStr">
        <is>
          <t>1. Organization and scope</t>
        </is>
      </c>
      <c r="B7" s="21" t="inlineStr">
        <is>
          <t>Analysis as-of</t>
        </is>
      </c>
      <c r="C7" s="22" t="inlineStr">
        <is>
          <t>FY2024 Form 990, filed 2025-10-17</t>
        </is>
      </c>
      <c r="D7" s="23" t="inlineStr">
        <is>
          <t>text</t>
        </is>
      </c>
      <c r="E7" s="24" t="inlineStr">
        <is>
          <t>PUBLIC</t>
        </is>
      </c>
      <c r="F7" s="25" t="inlineStr">
        <is>
          <t>IRS Form 990 via ProPublica Nonprofit Explorer, EIN 94-3346127 - https://projects.propublica.org/nonprofits/organizations/943346127</t>
        </is>
      </c>
      <c r="G7" s="26" t="inlineStr">
        <is>
          <t>Most recent public filing. FY2025 in the forecast is a current-year estimate, not an actual.</t>
        </is>
      </c>
    </row>
    <row r="8" ht="26" customHeight="1">
      <c r="A8" s="27" t="inlineStr">
        <is>
          <t>1. Organization and scope</t>
        </is>
      </c>
      <c r="B8" s="28" t="inlineStr">
        <is>
          <t>Charity Navigator rating</t>
        </is>
      </c>
      <c r="C8" s="29" t="inlineStr">
        <is>
          <t>4 of 4 stars, 96% overall score, all four beacons complete (...</t>
        </is>
      </c>
      <c r="D8" s="30" t="inlineStr">
        <is>
          <t>text</t>
        </is>
      </c>
      <c r="E8" s="31" t="inlineStr">
        <is>
          <t>PUBLIC</t>
        </is>
      </c>
      <c r="F8" s="32" t="inlineStr">
        <is>
          <t>Charity Navigator rating profile, EIN 94-3346127 - https://www.charitynavigator.org/ein/943346127</t>
        </is>
      </c>
      <c r="G8" s="33" t="inlineStr">
        <is>
          <t>Used as a sanity bound on the modelled functional expense split.</t>
        </is>
      </c>
    </row>
    <row r="9" ht="26" customHeight="1">
      <c r="A9" s="20" t="inlineStr">
        <is>
          <t>1. Organization and scope</t>
        </is>
      </c>
      <c r="B9" s="21" t="inlineStr">
        <is>
          <t>Model base year</t>
        </is>
      </c>
      <c r="C9" s="34" t="n">
        <v>2024</v>
      </c>
      <c r="D9" s="23" t="inlineStr">
        <is>
          <t>fiscal year</t>
        </is>
      </c>
      <c r="E9" s="24" t="inlineStr">
        <is>
          <t>PUBLIC</t>
        </is>
      </c>
      <c r="F9" s="25" t="inlineStr">
        <is>
          <t>IRS Form 990 via ProPublica Nonprofit Explorer, EIN 94-3346127 - https://projects.propublica.org/nonprofits/organizations/943346127</t>
        </is>
      </c>
      <c r="G9" s="26" t="inlineStr">
        <is>
          <t>Last year with filed actuals. All forecasts step forward from here.</t>
        </is>
      </c>
    </row>
    <row r="10" ht="26" customHeight="1">
      <c r="A10" s="27" t="inlineStr">
        <is>
          <t>2. Historical financials (Form 990)</t>
        </is>
      </c>
      <c r="B10" s="28" t="inlineStr">
        <is>
          <t>FY2019 total revenue</t>
        </is>
      </c>
      <c r="C10" s="35" t="n">
        <v>6750061</v>
      </c>
      <c r="D10" s="30" t="inlineStr">
        <is>
          <t>USD</t>
        </is>
      </c>
      <c r="E10" s="31" t="inlineStr">
        <is>
          <t>PUBLIC</t>
        </is>
      </c>
      <c r="F10" s="32" t="inlineStr">
        <is>
          <t>IRS Form 990 via ProPublica Nonprofit Explorer, EIN 94-3346127 - https://projects.propublica.org/nonprofits/organizations/943346127</t>
        </is>
      </c>
      <c r="G10" s="33" t="inlineStr">
        <is>
          <t>Form 990 Part I, total revenue.</t>
        </is>
      </c>
    </row>
    <row r="11" ht="26" customHeight="1">
      <c r="A11" s="20" t="inlineStr">
        <is>
          <t>2. Historical financials (Form 990)</t>
        </is>
      </c>
      <c r="B11" s="21" t="inlineStr">
        <is>
          <t>FY2019 total functional expenses</t>
        </is>
      </c>
      <c r="C11" s="36" t="n">
        <v>5531091</v>
      </c>
      <c r="D11" s="23" t="inlineStr">
        <is>
          <t>USD</t>
        </is>
      </c>
      <c r="E11" s="24" t="inlineStr">
        <is>
          <t>PUBLIC</t>
        </is>
      </c>
      <c r="F11" s="25" t="inlineStr">
        <is>
          <t>IRS Form 990 via ProPublica Nonprofit Explorer, EIN 94-3346127 - https://projects.propublica.org/nonprofits/organizations/943346127</t>
        </is>
      </c>
      <c r="G11" s="26" t="inlineStr">
        <is>
          <t>Form 990 Part I, total functional expenses.</t>
        </is>
      </c>
    </row>
    <row r="12" ht="26" customHeight="1">
      <c r="A12" s="27" t="inlineStr">
        <is>
          <t>2. Historical financials (Form 990)</t>
        </is>
      </c>
      <c r="B12" s="28" t="inlineStr">
        <is>
          <t>FY2019 total assets</t>
        </is>
      </c>
      <c r="C12" s="35" t="n">
        <v>4915534</v>
      </c>
      <c r="D12" s="30" t="inlineStr">
        <is>
          <t>USD</t>
        </is>
      </c>
      <c r="E12" s="31" t="inlineStr">
        <is>
          <t>PUBLIC</t>
        </is>
      </c>
      <c r="F12" s="32" t="inlineStr">
        <is>
          <t>IRS Form 990 via ProPublica Nonprofit Explorer, EIN 94-3346127 - https://projects.propublica.org/nonprofits/organizations/943346127</t>
        </is>
      </c>
      <c r="G12" s="33" t="inlineStr">
        <is>
          <t>Form 990 Part I, end of year.</t>
        </is>
      </c>
    </row>
    <row r="13" ht="26" customHeight="1">
      <c r="A13" s="20" t="inlineStr">
        <is>
          <t>2. Historical financials (Form 990)</t>
        </is>
      </c>
      <c r="B13" s="21" t="inlineStr">
        <is>
          <t>FY2019 total liabilities</t>
        </is>
      </c>
      <c r="C13" s="36" t="n">
        <v>461151</v>
      </c>
      <c r="D13" s="23" t="inlineStr">
        <is>
          <t>USD</t>
        </is>
      </c>
      <c r="E13" s="24" t="inlineStr">
        <is>
          <t>PUBLIC</t>
        </is>
      </c>
      <c r="F13" s="25" t="inlineStr">
        <is>
          <t>IRS Form 990 via ProPublica Nonprofit Explorer, EIN 94-3346127 - https://projects.propublica.org/nonprofits/organizations/943346127</t>
        </is>
      </c>
      <c r="G13" s="26" t="inlineStr">
        <is>
          <t>Form 990 Part I, end of year.</t>
        </is>
      </c>
    </row>
    <row r="14" ht="26" customHeight="1">
      <c r="A14" s="27" t="inlineStr">
        <is>
          <t>2. Historical financials (Form 990)</t>
        </is>
      </c>
      <c r="B14" s="28" t="inlineStr">
        <is>
          <t>FY2019 contributions and grants</t>
        </is>
      </c>
      <c r="C14" s="35" t="n">
        <v>6528091</v>
      </c>
      <c r="D14" s="30" t="inlineStr">
        <is>
          <t>USD</t>
        </is>
      </c>
      <c r="E14" s="31" t="inlineStr">
        <is>
          <t>PUBLIC</t>
        </is>
      </c>
      <c r="F14" s="32" t="inlineStr">
        <is>
          <t>IRS Form 990 via ProPublica Nonprofit Explorer, EIN 94-3346127 - https://projects.propublica.org/nonprofits/organizations/943346127</t>
        </is>
      </c>
      <c r="G14" s="33" t="inlineStr">
        <is>
          <t>Form 990 Part VIII line 1h.</t>
        </is>
      </c>
    </row>
    <row r="15" ht="26" customHeight="1">
      <c r="A15" s="20" t="inlineStr">
        <is>
          <t>2. Historical financials (Form 990)</t>
        </is>
      </c>
      <c r="B15" s="21" t="inlineStr">
        <is>
          <t>FY2019 program service revenue</t>
        </is>
      </c>
      <c r="C15" s="36" t="n">
        <v>353671</v>
      </c>
      <c r="D15" s="23" t="inlineStr">
        <is>
          <t>USD</t>
        </is>
      </c>
      <c r="E15" s="24" t="inlineStr">
        <is>
          <t>PUBLIC</t>
        </is>
      </c>
      <c r="F15" s="25" t="inlineStr">
        <is>
          <t>IRS Form 990 via ProPublica Nonprofit Explorer, EIN 94-3346127 - https://projects.propublica.org/nonprofits/organizations/943346127</t>
        </is>
      </c>
      <c r="G15" s="26" t="inlineStr">
        <is>
          <t>Form 990 Part VIII line 2g.</t>
        </is>
      </c>
    </row>
    <row r="16" ht="26" customHeight="1">
      <c r="A16" s="27" t="inlineStr">
        <is>
          <t>2. Historical financials (Form 990)</t>
        </is>
      </c>
      <c r="B16" s="28" t="inlineStr">
        <is>
          <t>FY2019 investment and other income</t>
        </is>
      </c>
      <c r="C16" s="35" t="n">
        <v>3602</v>
      </c>
      <c r="D16" s="30" t="inlineStr">
        <is>
          <t>USD</t>
        </is>
      </c>
      <c r="E16" s="31" t="inlineStr">
        <is>
          <t>PUBLIC</t>
        </is>
      </c>
      <c r="F16" s="32" t="inlineStr">
        <is>
          <t>IRS Form 990 via ProPublica Nonprofit Explorer, EIN 94-3346127 - https://projects.propublica.org/nonprofits/organizations/943346127</t>
        </is>
      </c>
      <c r="G16" s="33" t="inlineStr">
        <is>
          <t>Form 990 Part VIII line 3.</t>
        </is>
      </c>
    </row>
    <row r="17" ht="26" customHeight="1">
      <c r="A17" s="20" t="inlineStr">
        <is>
          <t>2. Historical financials (Form 990)</t>
        </is>
      </c>
      <c r="B17" s="21" t="inlineStr">
        <is>
          <t>FY2019 salaries and officer compensation</t>
        </is>
      </c>
      <c r="C17" s="36" t="n">
        <v>3593405</v>
      </c>
      <c r="D17" s="23" t="inlineStr">
        <is>
          <t>USD</t>
        </is>
      </c>
      <c r="E17" s="37" t="inlineStr">
        <is>
          <t>DERIVED</t>
        </is>
      </c>
      <c r="F17" s="25" t="inlineStr">
        <is>
          <t>IRS Form 990 via ProPublica Nonprofit Explorer, EIN 94-3346127 - https://projects.propublica.org/nonprofits/organizations/943346127</t>
        </is>
      </c>
      <c r="G17" s="26" t="inlineStr">
        <is>
          <t>Officer compensation plus other salaries and wages, both public.</t>
        </is>
      </c>
    </row>
    <row r="18" ht="26" customHeight="1">
      <c r="A18" s="27" t="inlineStr">
        <is>
          <t>2. Historical financials (Form 990)</t>
        </is>
      </c>
      <c r="B18" s="28" t="inlineStr">
        <is>
          <t>FY2019 payroll taxes</t>
        </is>
      </c>
      <c r="C18" s="35" t="n">
        <v>283482</v>
      </c>
      <c r="D18" s="30" t="inlineStr">
        <is>
          <t>USD</t>
        </is>
      </c>
      <c r="E18" s="31" t="inlineStr">
        <is>
          <t>PUBLIC</t>
        </is>
      </c>
      <c r="F18" s="32" t="inlineStr">
        <is>
          <t>IRS Form 990 via ProPublica Nonprofit Explorer, EIN 94-3346127 - https://projects.propublica.org/nonprofits/organizations/943346127</t>
        </is>
      </c>
      <c r="G18" s="33" t="inlineStr">
        <is>
          <t>Form 990 Part IX line 10.</t>
        </is>
      </c>
    </row>
    <row r="19" ht="26" customHeight="1">
      <c r="A19" s="20" t="inlineStr">
        <is>
          <t>2. Historical financials (Form 990)</t>
        </is>
      </c>
      <c r="B19" s="21" t="inlineStr">
        <is>
          <t>FY2020 total revenue</t>
        </is>
      </c>
      <c r="C19" s="36" t="n">
        <v>7016304</v>
      </c>
      <c r="D19" s="23" t="inlineStr">
        <is>
          <t>USD</t>
        </is>
      </c>
      <c r="E19" s="24" t="inlineStr">
        <is>
          <t>PUBLIC</t>
        </is>
      </c>
      <c r="F19" s="25" t="inlineStr">
        <is>
          <t>IRS Form 990 via ProPublica Nonprofit Explorer, EIN 94-3346127 - https://projects.propublica.org/nonprofits/organizations/943346127</t>
        </is>
      </c>
      <c r="G19" s="26" t="inlineStr">
        <is>
          <t>Form 990 Part I, total revenue.</t>
        </is>
      </c>
    </row>
    <row r="20" ht="26" customHeight="1">
      <c r="A20" s="27" t="inlineStr">
        <is>
          <t>2. Historical financials (Form 990)</t>
        </is>
      </c>
      <c r="B20" s="28" t="inlineStr">
        <is>
          <t>FY2020 total functional expenses</t>
        </is>
      </c>
      <c r="C20" s="35" t="n">
        <v>5670504</v>
      </c>
      <c r="D20" s="30" t="inlineStr">
        <is>
          <t>USD</t>
        </is>
      </c>
      <c r="E20" s="31" t="inlineStr">
        <is>
          <t>PUBLIC</t>
        </is>
      </c>
      <c r="F20" s="32" t="inlineStr">
        <is>
          <t>IRS Form 990 via ProPublica Nonprofit Explorer, EIN 94-3346127 - https://projects.propublica.org/nonprofits/organizations/943346127</t>
        </is>
      </c>
      <c r="G20" s="33" t="inlineStr">
        <is>
          <t>Form 990 Part I, total functional expenses.</t>
        </is>
      </c>
    </row>
    <row r="21" ht="26" customHeight="1">
      <c r="A21" s="20" t="inlineStr">
        <is>
          <t>2. Historical financials (Form 990)</t>
        </is>
      </c>
      <c r="B21" s="21" t="inlineStr">
        <is>
          <t>FY2020 total assets</t>
        </is>
      </c>
      <c r="C21" s="36" t="n">
        <v>7157462</v>
      </c>
      <c r="D21" s="23" t="inlineStr">
        <is>
          <t>USD</t>
        </is>
      </c>
      <c r="E21" s="24" t="inlineStr">
        <is>
          <t>PUBLIC</t>
        </is>
      </c>
      <c r="F21" s="25" t="inlineStr">
        <is>
          <t>IRS Form 990 via ProPublica Nonprofit Explorer, EIN 94-3346127 - https://projects.propublica.org/nonprofits/organizations/943346127</t>
        </is>
      </c>
      <c r="G21" s="26" t="inlineStr">
        <is>
          <t>Form 990 Part I, end of year.</t>
        </is>
      </c>
    </row>
    <row r="22" ht="26" customHeight="1">
      <c r="A22" s="27" t="inlineStr">
        <is>
          <t>2. Historical financials (Form 990)</t>
        </is>
      </c>
      <c r="B22" s="28" t="inlineStr">
        <is>
          <t>FY2020 total liabilities</t>
        </is>
      </c>
      <c r="C22" s="35" t="n">
        <v>1357279</v>
      </c>
      <c r="D22" s="30" t="inlineStr">
        <is>
          <t>USD</t>
        </is>
      </c>
      <c r="E22" s="31" t="inlineStr">
        <is>
          <t>PUBLIC</t>
        </is>
      </c>
      <c r="F22" s="32" t="inlineStr">
        <is>
          <t>IRS Form 990 via ProPublica Nonprofit Explorer, EIN 94-3346127 - https://projects.propublica.org/nonprofits/organizations/943346127</t>
        </is>
      </c>
      <c r="G22" s="33" t="inlineStr">
        <is>
          <t>Form 990 Part I, end of year.</t>
        </is>
      </c>
    </row>
    <row r="23" ht="26" customHeight="1">
      <c r="A23" s="20" t="inlineStr">
        <is>
          <t>2. Historical financials (Form 990)</t>
        </is>
      </c>
      <c r="B23" s="21" t="inlineStr">
        <is>
          <t>FY2020 contributions and grants</t>
        </is>
      </c>
      <c r="C23" s="36" t="n">
        <v>6738370</v>
      </c>
      <c r="D23" s="23" t="inlineStr">
        <is>
          <t>USD</t>
        </is>
      </c>
      <c r="E23" s="24" t="inlineStr">
        <is>
          <t>PUBLIC</t>
        </is>
      </c>
      <c r="F23" s="25" t="inlineStr">
        <is>
          <t>IRS Form 990 via ProPublica Nonprofit Explorer, EIN 94-3346127 - https://projects.propublica.org/nonprofits/organizations/943346127</t>
        </is>
      </c>
      <c r="G23" s="26" t="inlineStr">
        <is>
          <t>Form 990 Part VIII line 1h.</t>
        </is>
      </c>
    </row>
    <row r="24" ht="26" customHeight="1">
      <c r="A24" s="27" t="inlineStr">
        <is>
          <t>2. Historical financials (Form 990)</t>
        </is>
      </c>
      <c r="B24" s="28" t="inlineStr">
        <is>
          <t>FY2020 program service revenue</t>
        </is>
      </c>
      <c r="C24" s="35" t="n">
        <v>304509</v>
      </c>
      <c r="D24" s="30" t="inlineStr">
        <is>
          <t>USD</t>
        </is>
      </c>
      <c r="E24" s="31" t="inlineStr">
        <is>
          <t>PUBLIC</t>
        </is>
      </c>
      <c r="F24" s="32" t="inlineStr">
        <is>
          <t>IRS Form 990 via ProPublica Nonprofit Explorer, EIN 94-3346127 - https://projects.propublica.org/nonprofits/organizations/943346127</t>
        </is>
      </c>
      <c r="G24" s="33" t="inlineStr">
        <is>
          <t>Form 990 Part VIII line 2g.</t>
        </is>
      </c>
    </row>
    <row r="25" ht="26" customHeight="1">
      <c r="A25" s="20" t="inlineStr">
        <is>
          <t>2. Historical financials (Form 990)</t>
        </is>
      </c>
      <c r="B25" s="21" t="inlineStr">
        <is>
          <t>FY2020 investment and other income</t>
        </is>
      </c>
      <c r="C25" s="36" t="n">
        <v>21624</v>
      </c>
      <c r="D25" s="23" t="inlineStr">
        <is>
          <t>USD</t>
        </is>
      </c>
      <c r="E25" s="24" t="inlineStr">
        <is>
          <t>PUBLIC</t>
        </is>
      </c>
      <c r="F25" s="25" t="inlineStr">
        <is>
          <t>IRS Form 990 via ProPublica Nonprofit Explorer, EIN 94-3346127 - https://projects.propublica.org/nonprofits/organizations/943346127</t>
        </is>
      </c>
      <c r="G25" s="26" t="inlineStr">
        <is>
          <t>Form 990 Part VIII line 3.</t>
        </is>
      </c>
    </row>
    <row r="26" ht="26" customHeight="1">
      <c r="A26" s="27" t="inlineStr">
        <is>
          <t>2. Historical financials (Form 990)</t>
        </is>
      </c>
      <c r="B26" s="28" t="inlineStr">
        <is>
          <t>FY2020 salaries and officer compensation</t>
        </is>
      </c>
      <c r="C26" s="35" t="n">
        <v>3755317</v>
      </c>
      <c r="D26" s="30" t="inlineStr">
        <is>
          <t>USD</t>
        </is>
      </c>
      <c r="E26" s="31" t="inlineStr">
        <is>
          <t>DERIVED</t>
        </is>
      </c>
      <c r="F26" s="32" t="inlineStr">
        <is>
          <t>IRS Form 990 via ProPublica Nonprofit Explorer, EIN 94-3346127 - https://projects.propublica.org/nonprofits/organizations/943346127</t>
        </is>
      </c>
      <c r="G26" s="33" t="inlineStr">
        <is>
          <t>Officer compensation plus other salaries and wages, both public.</t>
        </is>
      </c>
    </row>
    <row r="27" ht="26" customHeight="1">
      <c r="A27" s="20" t="inlineStr">
        <is>
          <t>2. Historical financials (Form 990)</t>
        </is>
      </c>
      <c r="B27" s="21" t="inlineStr">
        <is>
          <t>FY2020 payroll taxes</t>
        </is>
      </c>
      <c r="C27" s="36" t="n">
        <v>290730</v>
      </c>
      <c r="D27" s="23" t="inlineStr">
        <is>
          <t>USD</t>
        </is>
      </c>
      <c r="E27" s="24" t="inlineStr">
        <is>
          <t>PUBLIC</t>
        </is>
      </c>
      <c r="F27" s="25" t="inlineStr">
        <is>
          <t>IRS Form 990 via ProPublica Nonprofit Explorer, EIN 94-3346127 - https://projects.propublica.org/nonprofits/organizations/943346127</t>
        </is>
      </c>
      <c r="G27" s="26" t="inlineStr">
        <is>
          <t>Form 990 Part IX line 10.</t>
        </is>
      </c>
    </row>
    <row r="28" ht="26" customHeight="1">
      <c r="A28" s="27" t="inlineStr">
        <is>
          <t>2. Historical financials (Form 990)</t>
        </is>
      </c>
      <c r="B28" s="28" t="inlineStr">
        <is>
          <t>FY2021 total revenue</t>
        </is>
      </c>
      <c r="C28" s="35" t="n">
        <v>11973523</v>
      </c>
      <c r="D28" s="30" t="inlineStr">
        <is>
          <t>USD</t>
        </is>
      </c>
      <c r="E28" s="31" t="inlineStr">
        <is>
          <t>PUBLIC</t>
        </is>
      </c>
      <c r="F28" s="32" t="inlineStr">
        <is>
          <t>IRS Form 990 via ProPublica Nonprofit Explorer, EIN 94-3346127 - https://projects.propublica.org/nonprofits/organizations/943346127</t>
        </is>
      </c>
      <c r="G28" s="33" t="inlineStr">
        <is>
          <t>Form 990 Part I, total revenue.</t>
        </is>
      </c>
    </row>
    <row r="29" ht="26" customHeight="1">
      <c r="A29" s="20" t="inlineStr">
        <is>
          <t>2. Historical financials (Form 990)</t>
        </is>
      </c>
      <c r="B29" s="21" t="inlineStr">
        <is>
          <t>FY2021 total functional expenses</t>
        </is>
      </c>
      <c r="C29" s="36" t="n">
        <v>6893690</v>
      </c>
      <c r="D29" s="23" t="inlineStr">
        <is>
          <t>USD</t>
        </is>
      </c>
      <c r="E29" s="24" t="inlineStr">
        <is>
          <t>PUBLIC</t>
        </is>
      </c>
      <c r="F29" s="25" t="inlineStr">
        <is>
          <t>IRS Form 990 via ProPublica Nonprofit Explorer, EIN 94-3346127 - https://projects.propublica.org/nonprofits/organizations/943346127</t>
        </is>
      </c>
      <c r="G29" s="26" t="inlineStr">
        <is>
          <t>Form 990 Part I, total functional expenses.</t>
        </is>
      </c>
    </row>
    <row r="30" ht="26" customHeight="1">
      <c r="A30" s="27" t="inlineStr">
        <is>
          <t>2. Historical financials (Form 990)</t>
        </is>
      </c>
      <c r="B30" s="28" t="inlineStr">
        <is>
          <t>FY2021 total assets</t>
        </is>
      </c>
      <c r="C30" s="35" t="n">
        <v>12593796</v>
      </c>
      <c r="D30" s="30" t="inlineStr">
        <is>
          <t>USD</t>
        </is>
      </c>
      <c r="E30" s="31" t="inlineStr">
        <is>
          <t>PUBLIC</t>
        </is>
      </c>
      <c r="F30" s="32" t="inlineStr">
        <is>
          <t>IRS Form 990 via ProPublica Nonprofit Explorer, EIN 94-3346127 - https://projects.propublica.org/nonprofits/organizations/943346127</t>
        </is>
      </c>
      <c r="G30" s="33" t="inlineStr">
        <is>
          <t>Form 990 Part I, end of year.</t>
        </is>
      </c>
    </row>
    <row r="31" ht="26" customHeight="1">
      <c r="A31" s="20" t="inlineStr">
        <is>
          <t>2. Historical financials (Form 990)</t>
        </is>
      </c>
      <c r="B31" s="21" t="inlineStr">
        <is>
          <t>FY2021 total liabilities</t>
        </is>
      </c>
      <c r="C31" s="36" t="n">
        <v>1713780</v>
      </c>
      <c r="D31" s="23" t="inlineStr">
        <is>
          <t>USD</t>
        </is>
      </c>
      <c r="E31" s="24" t="inlineStr">
        <is>
          <t>PUBLIC</t>
        </is>
      </c>
      <c r="F31" s="25" t="inlineStr">
        <is>
          <t>IRS Form 990 via ProPublica Nonprofit Explorer, EIN 94-3346127 - https://projects.propublica.org/nonprofits/organizations/943346127</t>
        </is>
      </c>
      <c r="G31" s="26" t="inlineStr">
        <is>
          <t>Form 990 Part I, end of year.</t>
        </is>
      </c>
    </row>
    <row r="32" ht="26" customHeight="1">
      <c r="A32" s="27" t="inlineStr">
        <is>
          <t>2. Historical financials (Form 990)</t>
        </is>
      </c>
      <c r="B32" s="28" t="inlineStr">
        <is>
          <t>FY2021 contributions and grants</t>
        </is>
      </c>
      <c r="C32" s="35" t="n">
        <v>11624463</v>
      </c>
      <c r="D32" s="30" t="inlineStr">
        <is>
          <t>USD</t>
        </is>
      </c>
      <c r="E32" s="31" t="inlineStr">
        <is>
          <t>PUBLIC</t>
        </is>
      </c>
      <c r="F32" s="32" t="inlineStr">
        <is>
          <t>IRS Form 990 via ProPublica Nonprofit Explorer, EIN 94-3346127 - https://projects.propublica.org/nonprofits/organizations/943346127</t>
        </is>
      </c>
      <c r="G32" s="33" t="inlineStr">
        <is>
          <t>Form 990 Part VIII line 1h.</t>
        </is>
      </c>
    </row>
    <row r="33" ht="26" customHeight="1">
      <c r="A33" s="20" t="inlineStr">
        <is>
          <t>2. Historical financials (Form 990)</t>
        </is>
      </c>
      <c r="B33" s="21" t="inlineStr">
        <is>
          <t>FY2021 program service revenue</t>
        </is>
      </c>
      <c r="C33" s="36" t="n">
        <v>383141</v>
      </c>
      <c r="D33" s="23" t="inlineStr">
        <is>
          <t>USD</t>
        </is>
      </c>
      <c r="E33" s="24" t="inlineStr">
        <is>
          <t>PUBLIC</t>
        </is>
      </c>
      <c r="F33" s="25" t="inlineStr">
        <is>
          <t>IRS Form 990 via ProPublica Nonprofit Explorer, EIN 94-3346127 - https://projects.propublica.org/nonprofits/organizations/943346127</t>
        </is>
      </c>
      <c r="G33" s="26" t="inlineStr">
        <is>
          <t>Form 990 Part VIII line 2g.</t>
        </is>
      </c>
    </row>
    <row r="34" ht="26" customHeight="1">
      <c r="A34" s="27" t="inlineStr">
        <is>
          <t>2. Historical financials (Form 990)</t>
        </is>
      </c>
      <c r="B34" s="28" t="inlineStr">
        <is>
          <t>FY2021 investment and other income</t>
        </is>
      </c>
      <c r="C34" s="35" t="n">
        <v>237</v>
      </c>
      <c r="D34" s="30" t="inlineStr">
        <is>
          <t>USD</t>
        </is>
      </c>
      <c r="E34" s="31" t="inlineStr">
        <is>
          <t>PUBLIC</t>
        </is>
      </c>
      <c r="F34" s="32" t="inlineStr">
        <is>
          <t>IRS Form 990 via ProPublica Nonprofit Explorer, EIN 94-3346127 - https://projects.propublica.org/nonprofits/organizations/943346127</t>
        </is>
      </c>
      <c r="G34" s="33" t="inlineStr">
        <is>
          <t>Form 990 Part VIII line 3.</t>
        </is>
      </c>
    </row>
    <row r="35" ht="26" customHeight="1">
      <c r="A35" s="20" t="inlineStr">
        <is>
          <t>2. Historical financials (Form 990)</t>
        </is>
      </c>
      <c r="B35" s="21" t="inlineStr">
        <is>
          <t>FY2021 salaries and officer compensation</t>
        </is>
      </c>
      <c r="C35" s="36" t="n">
        <v>4293069</v>
      </c>
      <c r="D35" s="23" t="inlineStr">
        <is>
          <t>USD</t>
        </is>
      </c>
      <c r="E35" s="37" t="inlineStr">
        <is>
          <t>DERIVED</t>
        </is>
      </c>
      <c r="F35" s="25" t="inlineStr">
        <is>
          <t>IRS Form 990 via ProPublica Nonprofit Explorer, EIN 94-3346127 - https://projects.propublica.org/nonprofits/organizations/943346127</t>
        </is>
      </c>
      <c r="G35" s="26" t="inlineStr">
        <is>
          <t>Officer compensation plus other salaries and wages, both public.</t>
        </is>
      </c>
    </row>
    <row r="36" ht="26" customHeight="1">
      <c r="A36" s="27" t="inlineStr">
        <is>
          <t>2. Historical financials (Form 990)</t>
        </is>
      </c>
      <c r="B36" s="28" t="inlineStr">
        <is>
          <t>FY2021 payroll taxes</t>
        </is>
      </c>
      <c r="C36" s="35" t="n">
        <v>339149</v>
      </c>
      <c r="D36" s="30" t="inlineStr">
        <is>
          <t>USD</t>
        </is>
      </c>
      <c r="E36" s="31" t="inlineStr">
        <is>
          <t>PUBLIC</t>
        </is>
      </c>
      <c r="F36" s="32" t="inlineStr">
        <is>
          <t>IRS Form 990 via ProPublica Nonprofit Explorer, EIN 94-3346127 - https://projects.propublica.org/nonprofits/organizations/943346127</t>
        </is>
      </c>
      <c r="G36" s="33" t="inlineStr">
        <is>
          <t>Form 990 Part IX line 10.</t>
        </is>
      </c>
    </row>
    <row r="37" ht="26" customHeight="1">
      <c r="A37" s="20" t="inlineStr">
        <is>
          <t>2. Historical financials (Form 990)</t>
        </is>
      </c>
      <c r="B37" s="21" t="inlineStr">
        <is>
          <t>FY2022 total revenue</t>
        </is>
      </c>
      <c r="C37" s="36" t="n">
        <v>19305952</v>
      </c>
      <c r="D37" s="23" t="inlineStr">
        <is>
          <t>USD</t>
        </is>
      </c>
      <c r="E37" s="24" t="inlineStr">
        <is>
          <t>PUBLIC</t>
        </is>
      </c>
      <c r="F37" s="25" t="inlineStr">
        <is>
          <t>IRS Form 990 via ProPublica Nonprofit Explorer, EIN 94-3346127 - https://projects.propublica.org/nonprofits/organizations/943346127</t>
        </is>
      </c>
      <c r="G37" s="26" t="inlineStr">
        <is>
          <t>Form 990 Part I, total revenue.</t>
        </is>
      </c>
    </row>
    <row r="38" ht="26" customHeight="1">
      <c r="A38" s="27" t="inlineStr">
        <is>
          <t>2. Historical financials (Form 990)</t>
        </is>
      </c>
      <c r="B38" s="28" t="inlineStr">
        <is>
          <t>FY2022 total functional expenses</t>
        </is>
      </c>
      <c r="C38" s="35" t="n">
        <v>9316393</v>
      </c>
      <c r="D38" s="30" t="inlineStr">
        <is>
          <t>USD</t>
        </is>
      </c>
      <c r="E38" s="31" t="inlineStr">
        <is>
          <t>PUBLIC</t>
        </is>
      </c>
      <c r="F38" s="32" t="inlineStr">
        <is>
          <t>IRS Form 990 via ProPublica Nonprofit Explorer, EIN 94-3346127 - https://projects.propublica.org/nonprofits/organizations/943346127</t>
        </is>
      </c>
      <c r="G38" s="33" t="inlineStr">
        <is>
          <t>Form 990 Part I, total functional expenses.</t>
        </is>
      </c>
    </row>
    <row r="39" ht="26" customHeight="1">
      <c r="A39" s="20" t="inlineStr">
        <is>
          <t>2. Historical financials (Form 990)</t>
        </is>
      </c>
      <c r="B39" s="21" t="inlineStr">
        <is>
          <t>FY2022 total assets</t>
        </is>
      </c>
      <c r="C39" s="36" t="n">
        <v>23406064</v>
      </c>
      <c r="D39" s="23" t="inlineStr">
        <is>
          <t>USD</t>
        </is>
      </c>
      <c r="E39" s="24" t="inlineStr">
        <is>
          <t>PUBLIC</t>
        </is>
      </c>
      <c r="F39" s="25" t="inlineStr">
        <is>
          <t>IRS Form 990 via ProPublica Nonprofit Explorer, EIN 94-3346127 - https://projects.propublica.org/nonprofits/organizations/943346127</t>
        </is>
      </c>
      <c r="G39" s="26" t="inlineStr">
        <is>
          <t>Form 990 Part I, end of year.</t>
        </is>
      </c>
    </row>
    <row r="40" ht="26" customHeight="1">
      <c r="A40" s="27" t="inlineStr">
        <is>
          <t>2. Historical financials (Form 990)</t>
        </is>
      </c>
      <c r="B40" s="28" t="inlineStr">
        <is>
          <t>FY2022 total liabilities</t>
        </is>
      </c>
      <c r="C40" s="35" t="n">
        <v>2536489</v>
      </c>
      <c r="D40" s="30" t="inlineStr">
        <is>
          <t>USD</t>
        </is>
      </c>
      <c r="E40" s="31" t="inlineStr">
        <is>
          <t>PUBLIC</t>
        </is>
      </c>
      <c r="F40" s="32" t="inlineStr">
        <is>
          <t>IRS Form 990 via ProPublica Nonprofit Explorer, EIN 94-3346127 - https://projects.propublica.org/nonprofits/organizations/943346127</t>
        </is>
      </c>
      <c r="G40" s="33" t="inlineStr">
        <is>
          <t>Form 990 Part I, end of year.</t>
        </is>
      </c>
    </row>
    <row r="41" ht="26" customHeight="1">
      <c r="A41" s="20" t="inlineStr">
        <is>
          <t>2. Historical financials (Form 990)</t>
        </is>
      </c>
      <c r="B41" s="21" t="inlineStr">
        <is>
          <t>FY2022 contributions and grants</t>
        </is>
      </c>
      <c r="C41" s="36" t="n">
        <v>18348946</v>
      </c>
      <c r="D41" s="23" t="inlineStr">
        <is>
          <t>USD</t>
        </is>
      </c>
      <c r="E41" s="24" t="inlineStr">
        <is>
          <t>PUBLIC</t>
        </is>
      </c>
      <c r="F41" s="25" t="inlineStr">
        <is>
          <t>IRS Form 990 via ProPublica Nonprofit Explorer, EIN 94-3346127 - https://projects.propublica.org/nonprofits/organizations/943346127</t>
        </is>
      </c>
      <c r="G41" s="26" t="inlineStr">
        <is>
          <t>Form 990 Part VIII line 1h.</t>
        </is>
      </c>
    </row>
    <row r="42" ht="26" customHeight="1">
      <c r="A42" s="27" t="inlineStr">
        <is>
          <t>2. Historical financials (Form 990)</t>
        </is>
      </c>
      <c r="B42" s="28" t="inlineStr">
        <is>
          <t>FY2022 program service revenue</t>
        </is>
      </c>
      <c r="C42" s="35" t="n">
        <v>1064285</v>
      </c>
      <c r="D42" s="30" t="inlineStr">
        <is>
          <t>USD</t>
        </is>
      </c>
      <c r="E42" s="31" t="inlineStr">
        <is>
          <t>PUBLIC</t>
        </is>
      </c>
      <c r="F42" s="32" t="inlineStr">
        <is>
          <t>IRS Form 990 via ProPublica Nonprofit Explorer, EIN 94-3346127 - https://projects.propublica.org/nonprofits/organizations/943346127</t>
        </is>
      </c>
      <c r="G42" s="33" t="inlineStr">
        <is>
          <t>Form 990 Part VIII line 2g.</t>
        </is>
      </c>
    </row>
    <row r="43" ht="26" customHeight="1">
      <c r="A43" s="20" t="inlineStr">
        <is>
          <t>2. Historical financials (Form 990)</t>
        </is>
      </c>
      <c r="B43" s="21" t="inlineStr">
        <is>
          <t>FY2022 investment and other income</t>
        </is>
      </c>
      <c r="C43" s="36" t="n">
        <v>14416</v>
      </c>
      <c r="D43" s="23" t="inlineStr">
        <is>
          <t>USD</t>
        </is>
      </c>
      <c r="E43" s="24" t="inlineStr">
        <is>
          <t>PUBLIC</t>
        </is>
      </c>
      <c r="F43" s="25" t="inlineStr">
        <is>
          <t>IRS Form 990 via ProPublica Nonprofit Explorer, EIN 94-3346127 - https://projects.propublica.org/nonprofits/organizations/943346127</t>
        </is>
      </c>
      <c r="G43" s="26" t="inlineStr">
        <is>
          <t>Form 990 Part VIII line 3.</t>
        </is>
      </c>
    </row>
    <row r="44" ht="26" customHeight="1">
      <c r="A44" s="27" t="inlineStr">
        <is>
          <t>2. Historical financials (Form 990)</t>
        </is>
      </c>
      <c r="B44" s="28" t="inlineStr">
        <is>
          <t>FY2022 salaries and officer compensation</t>
        </is>
      </c>
      <c r="C44" s="35" t="n">
        <v>5963333</v>
      </c>
      <c r="D44" s="30" t="inlineStr">
        <is>
          <t>USD</t>
        </is>
      </c>
      <c r="E44" s="31" t="inlineStr">
        <is>
          <t>DERIVED</t>
        </is>
      </c>
      <c r="F44" s="32" t="inlineStr">
        <is>
          <t>IRS Form 990 via ProPublica Nonprofit Explorer, EIN 94-3346127 - https://projects.propublica.org/nonprofits/organizations/943346127</t>
        </is>
      </c>
      <c r="G44" s="33" t="inlineStr">
        <is>
          <t>Officer compensation plus other salaries and wages, both public.</t>
        </is>
      </c>
    </row>
    <row r="45" ht="26" customHeight="1">
      <c r="A45" s="20" t="inlineStr">
        <is>
          <t>2. Historical financials (Form 990)</t>
        </is>
      </c>
      <c r="B45" s="21" t="inlineStr">
        <is>
          <t>FY2022 payroll taxes</t>
        </is>
      </c>
      <c r="C45" s="36" t="n">
        <v>454590</v>
      </c>
      <c r="D45" s="23" t="inlineStr">
        <is>
          <t>USD</t>
        </is>
      </c>
      <c r="E45" s="24" t="inlineStr">
        <is>
          <t>PUBLIC</t>
        </is>
      </c>
      <c r="F45" s="25" t="inlineStr">
        <is>
          <t>IRS Form 990 via ProPublica Nonprofit Explorer, EIN 94-3346127 - https://projects.propublica.org/nonprofits/organizations/943346127</t>
        </is>
      </c>
      <c r="G45" s="26" t="inlineStr">
        <is>
          <t>Form 990 Part IX line 10.</t>
        </is>
      </c>
    </row>
    <row r="46" ht="26" customHeight="1">
      <c r="A46" s="27" t="inlineStr">
        <is>
          <t>2. Historical financials (Form 990)</t>
        </is>
      </c>
      <c r="B46" s="28" t="inlineStr">
        <is>
          <t>FY2023 total revenue</t>
        </is>
      </c>
      <c r="C46" s="35" t="n">
        <v>22391041</v>
      </c>
      <c r="D46" s="30" t="inlineStr">
        <is>
          <t>USD</t>
        </is>
      </c>
      <c r="E46" s="31" t="inlineStr">
        <is>
          <t>PUBLIC</t>
        </is>
      </c>
      <c r="F46" s="32" t="inlineStr">
        <is>
          <t>IRS Form 990 via ProPublica Nonprofit Explorer, EIN 94-3346127 - https://projects.propublica.org/nonprofits/organizations/943346127</t>
        </is>
      </c>
      <c r="G46" s="33" t="inlineStr">
        <is>
          <t>Form 990 Part I, total revenue.</t>
        </is>
      </c>
    </row>
    <row r="47" ht="26" customHeight="1">
      <c r="A47" s="20" t="inlineStr">
        <is>
          <t>2. Historical financials (Form 990)</t>
        </is>
      </c>
      <c r="B47" s="21" t="inlineStr">
        <is>
          <t>FY2023 total functional expenses</t>
        </is>
      </c>
      <c r="C47" s="36" t="n">
        <v>13659379</v>
      </c>
      <c r="D47" s="23" t="inlineStr">
        <is>
          <t>USD</t>
        </is>
      </c>
      <c r="E47" s="24" t="inlineStr">
        <is>
          <t>PUBLIC</t>
        </is>
      </c>
      <c r="F47" s="25" t="inlineStr">
        <is>
          <t>IRS Form 990 via ProPublica Nonprofit Explorer, EIN 94-3346127 - https://projects.propublica.org/nonprofits/organizations/943346127</t>
        </is>
      </c>
      <c r="G47" s="26" t="inlineStr">
        <is>
          <t>Form 990 Part I, total functional expenses.</t>
        </is>
      </c>
    </row>
    <row r="48" ht="26" customHeight="1">
      <c r="A48" s="27" t="inlineStr">
        <is>
          <t>2. Historical financials (Form 990)</t>
        </is>
      </c>
      <c r="B48" s="28" t="inlineStr">
        <is>
          <t>FY2023 total assets</t>
        </is>
      </c>
      <c r="C48" s="35" t="n">
        <v>31782416</v>
      </c>
      <c r="D48" s="30" t="inlineStr">
        <is>
          <t>USD</t>
        </is>
      </c>
      <c r="E48" s="31" t="inlineStr">
        <is>
          <t>PUBLIC</t>
        </is>
      </c>
      <c r="F48" s="32" t="inlineStr">
        <is>
          <t>IRS Form 990 via ProPublica Nonprofit Explorer, EIN 94-3346127 - https://projects.propublica.org/nonprofits/organizations/943346127</t>
        </is>
      </c>
      <c r="G48" s="33" t="inlineStr">
        <is>
          <t>Form 990 Part I, end of year.</t>
        </is>
      </c>
    </row>
    <row r="49" ht="26" customHeight="1">
      <c r="A49" s="20" t="inlineStr">
        <is>
          <t>2. Historical financials (Form 990)</t>
        </is>
      </c>
      <c r="B49" s="21" t="inlineStr">
        <is>
          <t>FY2023 total liabilities</t>
        </is>
      </c>
      <c r="C49" s="36" t="n">
        <v>2181179</v>
      </c>
      <c r="D49" s="23" t="inlineStr">
        <is>
          <t>USD</t>
        </is>
      </c>
      <c r="E49" s="24" t="inlineStr">
        <is>
          <t>PUBLIC</t>
        </is>
      </c>
      <c r="F49" s="25" t="inlineStr">
        <is>
          <t>IRS Form 990 via ProPublica Nonprofit Explorer, EIN 94-3346127 - https://projects.propublica.org/nonprofits/organizations/943346127</t>
        </is>
      </c>
      <c r="G49" s="26" t="inlineStr">
        <is>
          <t>Form 990 Part I, end of year.</t>
        </is>
      </c>
    </row>
    <row r="50" ht="26" customHeight="1">
      <c r="A50" s="27" t="inlineStr">
        <is>
          <t>2. Historical financials (Form 990)</t>
        </is>
      </c>
      <c r="B50" s="28" t="inlineStr">
        <is>
          <t>FY2023 contributions and grants</t>
        </is>
      </c>
      <c r="C50" s="35" t="n">
        <v>20709887</v>
      </c>
      <c r="D50" s="30" t="inlineStr">
        <is>
          <t>USD</t>
        </is>
      </c>
      <c r="E50" s="31" t="inlineStr">
        <is>
          <t>PUBLIC</t>
        </is>
      </c>
      <c r="F50" s="32" t="inlineStr">
        <is>
          <t>IRS Form 990 via ProPublica Nonprofit Explorer, EIN 94-3346127 - https://projects.propublica.org/nonprofits/organizations/943346127</t>
        </is>
      </c>
      <c r="G50" s="33" t="inlineStr">
        <is>
          <t>Form 990 Part VIII line 1h.</t>
        </is>
      </c>
    </row>
    <row r="51" ht="26" customHeight="1">
      <c r="A51" s="20" t="inlineStr">
        <is>
          <t>2. Historical financials (Form 990)</t>
        </is>
      </c>
      <c r="B51" s="21" t="inlineStr">
        <is>
          <t>FY2023 program service revenue</t>
        </is>
      </c>
      <c r="C51" s="36" t="n">
        <v>1066130</v>
      </c>
      <c r="D51" s="23" t="inlineStr">
        <is>
          <t>USD</t>
        </is>
      </c>
      <c r="E51" s="24" t="inlineStr">
        <is>
          <t>PUBLIC</t>
        </is>
      </c>
      <c r="F51" s="25" t="inlineStr">
        <is>
          <t>IRS Form 990 via ProPublica Nonprofit Explorer, EIN 94-3346127 - https://projects.propublica.org/nonprofits/organizations/943346127</t>
        </is>
      </c>
      <c r="G51" s="26" t="inlineStr">
        <is>
          <t>Form 990 Part VIII line 2g.</t>
        </is>
      </c>
    </row>
    <row r="52" ht="26" customHeight="1">
      <c r="A52" s="27" t="inlineStr">
        <is>
          <t>2. Historical financials (Form 990)</t>
        </is>
      </c>
      <c r="B52" s="28" t="inlineStr">
        <is>
          <t>FY2023 investment and other income</t>
        </is>
      </c>
      <c r="C52" s="35" t="n">
        <v>672813</v>
      </c>
      <c r="D52" s="30" t="inlineStr">
        <is>
          <t>USD</t>
        </is>
      </c>
      <c r="E52" s="31" t="inlineStr">
        <is>
          <t>PUBLIC</t>
        </is>
      </c>
      <c r="F52" s="32" t="inlineStr">
        <is>
          <t>IRS Form 990 via ProPublica Nonprofit Explorer, EIN 94-3346127 - https://projects.propublica.org/nonprofits/organizations/943346127</t>
        </is>
      </c>
      <c r="G52" s="33" t="inlineStr">
        <is>
          <t>Form 990 Part VIII line 3.</t>
        </is>
      </c>
    </row>
    <row r="53" ht="26" customHeight="1">
      <c r="A53" s="20" t="inlineStr">
        <is>
          <t>2. Historical financials (Form 990)</t>
        </is>
      </c>
      <c r="B53" s="21" t="inlineStr">
        <is>
          <t>FY2023 salaries and officer compensation</t>
        </is>
      </c>
      <c r="C53" s="36" t="n">
        <v>7756234</v>
      </c>
      <c r="D53" s="23" t="inlineStr">
        <is>
          <t>USD</t>
        </is>
      </c>
      <c r="E53" s="37" t="inlineStr">
        <is>
          <t>DERIVED</t>
        </is>
      </c>
      <c r="F53" s="25" t="inlineStr">
        <is>
          <t>IRS Form 990 via ProPublica Nonprofit Explorer, EIN 94-3346127 - https://projects.propublica.org/nonprofits/organizations/943346127</t>
        </is>
      </c>
      <c r="G53" s="26" t="inlineStr">
        <is>
          <t>Officer compensation plus other salaries and wages, both public.</t>
        </is>
      </c>
    </row>
    <row r="54" ht="26" customHeight="1">
      <c r="A54" s="27" t="inlineStr">
        <is>
          <t>2. Historical financials (Form 990)</t>
        </is>
      </c>
      <c r="B54" s="28" t="inlineStr">
        <is>
          <t>FY2023 payroll taxes</t>
        </is>
      </c>
      <c r="C54" s="35" t="n">
        <v>606465</v>
      </c>
      <c r="D54" s="30" t="inlineStr">
        <is>
          <t>USD</t>
        </is>
      </c>
      <c r="E54" s="31" t="inlineStr">
        <is>
          <t>PUBLIC</t>
        </is>
      </c>
      <c r="F54" s="32" t="inlineStr">
        <is>
          <t>IRS Form 990 via ProPublica Nonprofit Explorer, EIN 94-3346127 - https://projects.propublica.org/nonprofits/organizations/943346127</t>
        </is>
      </c>
      <c r="G54" s="33" t="inlineStr">
        <is>
          <t>Form 990 Part IX line 10.</t>
        </is>
      </c>
    </row>
    <row r="55" ht="26" customHeight="1">
      <c r="A55" s="20" t="inlineStr">
        <is>
          <t>2. Historical financials (Form 990)</t>
        </is>
      </c>
      <c r="B55" s="21" t="inlineStr">
        <is>
          <t>FY2024 total revenue</t>
        </is>
      </c>
      <c r="C55" s="36" t="n">
        <v>28580411</v>
      </c>
      <c r="D55" s="23" t="inlineStr">
        <is>
          <t>USD</t>
        </is>
      </c>
      <c r="E55" s="24" t="inlineStr">
        <is>
          <t>PUBLIC</t>
        </is>
      </c>
      <c r="F55" s="25" t="inlineStr">
        <is>
          <t>IRS Form 990 via ProPublica Nonprofit Explorer, EIN 94-3346127 - https://projects.propublica.org/nonprofits/organizations/943346127</t>
        </is>
      </c>
      <c r="G55" s="26" t="inlineStr">
        <is>
          <t>Form 990 Part I, total revenue.</t>
        </is>
      </c>
    </row>
    <row r="56" ht="26" customHeight="1">
      <c r="A56" s="27" t="inlineStr">
        <is>
          <t>2. Historical financials (Form 990)</t>
        </is>
      </c>
      <c r="B56" s="28" t="inlineStr">
        <is>
          <t>FY2024 total functional expenses</t>
        </is>
      </c>
      <c r="C56" s="35" t="n">
        <v>18275646</v>
      </c>
      <c r="D56" s="30" t="inlineStr">
        <is>
          <t>USD</t>
        </is>
      </c>
      <c r="E56" s="31" t="inlineStr">
        <is>
          <t>PUBLIC</t>
        </is>
      </c>
      <c r="F56" s="32" t="inlineStr">
        <is>
          <t>IRS Form 990 via ProPublica Nonprofit Explorer, EIN 94-3346127 - https://projects.propublica.org/nonprofits/organizations/943346127</t>
        </is>
      </c>
      <c r="G56" s="33" t="inlineStr">
        <is>
          <t>Form 990 Part I, total functional expenses.</t>
        </is>
      </c>
    </row>
    <row r="57" ht="26" customHeight="1">
      <c r="A57" s="20" t="inlineStr">
        <is>
          <t>2. Historical financials (Form 990)</t>
        </is>
      </c>
      <c r="B57" s="21" t="inlineStr">
        <is>
          <t>FY2024 total assets</t>
        </is>
      </c>
      <c r="C57" s="36" t="n">
        <v>42583791</v>
      </c>
      <c r="D57" s="23" t="inlineStr">
        <is>
          <t>USD</t>
        </is>
      </c>
      <c r="E57" s="24" t="inlineStr">
        <is>
          <t>PUBLIC</t>
        </is>
      </c>
      <c r="F57" s="25" t="inlineStr">
        <is>
          <t>IRS Form 990 via ProPublica Nonprofit Explorer, EIN 94-3346127 - https://projects.propublica.org/nonprofits/organizations/943346127</t>
        </is>
      </c>
      <c r="G57" s="26" t="inlineStr">
        <is>
          <t>Form 990 Part I, end of year.</t>
        </is>
      </c>
    </row>
    <row r="58" ht="26" customHeight="1">
      <c r="A58" s="27" t="inlineStr">
        <is>
          <t>2. Historical financials (Form 990)</t>
        </is>
      </c>
      <c r="B58" s="28" t="inlineStr">
        <is>
          <t>FY2024 total liabilities</t>
        </is>
      </c>
      <c r="C58" s="35" t="n">
        <v>2676737</v>
      </c>
      <c r="D58" s="30" t="inlineStr">
        <is>
          <t>USD</t>
        </is>
      </c>
      <c r="E58" s="31" t="inlineStr">
        <is>
          <t>DERIVED</t>
        </is>
      </c>
      <c r="F58" s="32" t="inlineStr">
        <is>
          <t>IRS Form 990 via ProPublica Nonprofit Explorer, EIN 94-3346127 - https://projects.propublica.org/nonprofits/organizations/943346127</t>
        </is>
      </c>
      <c r="G58" s="33" t="inlineStr">
        <is>
          <t>Derived as total assets less net assets, both public.</t>
        </is>
      </c>
    </row>
    <row r="59" ht="26" customHeight="1">
      <c r="A59" s="20" t="inlineStr">
        <is>
          <t>2. Historical financials (Form 990)</t>
        </is>
      </c>
      <c r="B59" s="21" t="inlineStr">
        <is>
          <t>FY2024 contributions and grants</t>
        </is>
      </c>
      <c r="C59" s="36" t="n">
        <v>26008174</v>
      </c>
      <c r="D59" s="23" t="inlineStr">
        <is>
          <t>USD</t>
        </is>
      </c>
      <c r="E59" s="37" t="inlineStr">
        <is>
          <t>DERIVED</t>
        </is>
      </c>
      <c r="F59" s="25" t="inlineStr">
        <is>
          <t>IRS Form 990 via ProPublica Nonprofit Explorer, EIN 94-3346127 - https://projects.propublica.org/nonprofits/organizations/943346127</t>
        </is>
      </c>
      <c r="G59" s="26" t="inlineStr">
        <is>
          <t>ProPublica reports the FY2024 revenue mix as approximately 91% contributions and 4% program services. Contributions = 0.91 x total revenue; program service revenue = 0.04 x total revenue; the 5% residual is carried as investment and other income. Total liabilities are derived as total assets less net assets, both of which are public.</t>
        </is>
      </c>
    </row>
    <row r="60" ht="26" customHeight="1">
      <c r="A60" s="27" t="inlineStr">
        <is>
          <t>2. Historical financials (Form 990)</t>
        </is>
      </c>
      <c r="B60" s="28" t="inlineStr">
        <is>
          <t>FY2024 program service revenue</t>
        </is>
      </c>
      <c r="C60" s="35" t="n">
        <v>1143216</v>
      </c>
      <c r="D60" s="30" t="inlineStr">
        <is>
          <t>USD</t>
        </is>
      </c>
      <c r="E60" s="31" t="inlineStr">
        <is>
          <t>DERIVED</t>
        </is>
      </c>
      <c r="F60" s="32" t="inlineStr">
        <is>
          <t>IRS Form 990 via ProPublica Nonprofit Explorer, EIN 94-3346127 - https://projects.propublica.org/nonprofits/organizations/943346127</t>
        </is>
      </c>
      <c r="G60" s="33" t="inlineStr">
        <is>
          <t>ProPublica reports the FY2024 revenue mix as approximately 91% contributions and 4% program services. Contributions = 0.91 x total revenue; program service revenue = 0.04 x total revenue; the 5% residual is carried as investment and other income. Total liabilities are derived as total assets less net assets, both of which are public.</t>
        </is>
      </c>
    </row>
    <row r="61" ht="26" customHeight="1">
      <c r="A61" s="20" t="inlineStr">
        <is>
          <t>2. Historical financials (Form 990)</t>
        </is>
      </c>
      <c r="B61" s="21" t="inlineStr">
        <is>
          <t>FY2024 investment and other income</t>
        </is>
      </c>
      <c r="C61" s="36" t="n">
        <v>1429021</v>
      </c>
      <c r="D61" s="23" t="inlineStr">
        <is>
          <t>USD</t>
        </is>
      </c>
      <c r="E61" s="37" t="inlineStr">
        <is>
          <t>DERIVED</t>
        </is>
      </c>
      <c r="F61" s="25" t="inlineStr">
        <is>
          <t>IRS Form 990 via ProPublica Nonprofit Explorer, EIN 94-3346127 - https://projects.propublica.org/nonprofits/organizations/943346127</t>
        </is>
      </c>
      <c r="G61" s="26" t="inlineStr">
        <is>
          <t>ProPublica reports the FY2024 revenue mix as approximately 91% contributions and 4% program services. Contributions = 0.91 x total revenue; program service revenue = 0.04 x total revenue; the 5% residual is carried as investment and other income. Total liabilities are derived as total assets less net assets, both of which are public.</t>
        </is>
      </c>
    </row>
    <row r="62" ht="26" customHeight="1">
      <c r="A62" s="27" t="inlineStr">
        <is>
          <t>2. Historical financials (Form 990)</t>
        </is>
      </c>
      <c r="B62" s="28" t="inlineStr">
        <is>
          <t>FY2024 salaries and officer compensation</t>
        </is>
      </c>
      <c r="C62" s="35" t="n">
        <v>10260344</v>
      </c>
      <c r="D62" s="30" t="inlineStr">
        <is>
          <t>USD</t>
        </is>
      </c>
      <c r="E62" s="31" t="inlineStr">
        <is>
          <t>DERIVED</t>
        </is>
      </c>
      <c r="F62" s="32" t="inlineStr">
        <is>
          <t>IRS Form 990 via ProPublica Nonprofit Explorer, EIN 94-3346127 - https://projects.propublica.org/nonprofits/organizations/943346127</t>
        </is>
      </c>
      <c r="G62" s="33" t="inlineStr">
        <is>
          <t>Officer compensation plus other salaries and wages, both public.</t>
        </is>
      </c>
    </row>
    <row r="63" ht="26" customHeight="1">
      <c r="A63" s="20" t="inlineStr">
        <is>
          <t>2. Historical financials (Form 990)</t>
        </is>
      </c>
      <c r="B63" s="21" t="inlineStr">
        <is>
          <t>FY2024 payroll taxes</t>
        </is>
      </c>
      <c r="C63" s="36" t="n">
        <v>800307</v>
      </c>
      <c r="D63" s="23" t="inlineStr">
        <is>
          <t>USD</t>
        </is>
      </c>
      <c r="E63" s="37" t="inlineStr">
        <is>
          <t>DERIVED</t>
        </is>
      </c>
      <c r="F63" s="25" t="inlineStr">
        <is>
          <t>IRS Form 990 via ProPublica Nonprofit Explorer, EIN 94-3346127 - https://projects.propublica.org/nonprofits/organizations/943346127</t>
        </is>
      </c>
      <c r="G63" s="26" t="inlineStr">
        <is>
          <t>FY2023 payroll tax of $606,465 on salaries of $7,756,234 implies an effective rate of 7.82%. Applied to FY2024 salaries of $10,260,344 gives $800,307.</t>
        </is>
      </c>
    </row>
    <row r="64" ht="26" customHeight="1">
      <c r="A64" s="27" t="inlineStr">
        <is>
          <t>2. Historical financials (Form 990)</t>
        </is>
      </c>
      <c r="B64" s="28" t="inlineStr">
        <is>
          <t>FY2024 net assets</t>
        </is>
      </c>
      <c r="C64" s="35" t="n">
        <v>39907054</v>
      </c>
      <c r="D64" s="30" t="inlineStr">
        <is>
          <t>USD</t>
        </is>
      </c>
      <c r="E64" s="31" t="inlineStr">
        <is>
          <t>PUBLIC</t>
        </is>
      </c>
      <c r="F64" s="32" t="inlineStr">
        <is>
          <t>IRS Form 990 via ProPublica Nonprofit Explorer, EIN 94-3346127 - https://projects.propublica.org/nonprofits/organizations/943346127</t>
        </is>
      </c>
      <c r="G64" s="33" t="inlineStr">
        <is>
          <t>Public. Used as the control total against which derived liabilities are backed out.</t>
        </is>
      </c>
    </row>
    <row r="65" ht="26" customHeight="1">
      <c r="A65" s="20" t="inlineStr">
        <is>
          <t>3. Published impact metrics</t>
        </is>
      </c>
      <c r="B65" s="21" t="inlineStr">
        <is>
          <t>2022 participants served</t>
        </is>
      </c>
      <c r="C65" s="36" t="n">
        <v>7041</v>
      </c>
      <c r="D65" s="23" t="inlineStr">
        <is>
          <t>people</t>
        </is>
      </c>
      <c r="E65" s="24" t="inlineStr">
        <is>
          <t>PUBLIC</t>
        </is>
      </c>
      <c r="F65" s="25" t="inlineStr">
        <is>
          <t>Upwardly Global, 2022 Annual Report 'By the Numbers' - https://annual-report.upwardlyglobal.org/2022/by-the-numbers/</t>
        </is>
      </c>
      <c r="G65" s="26" t="inlineStr">
        <is>
          <t>7,041 program participants across career-coaching and online programs; 1,116 placed in thriving-wage jobs; $66,481 average annual starting salary.</t>
        </is>
      </c>
    </row>
    <row r="66" ht="26" customHeight="1">
      <c r="A66" s="27" t="inlineStr">
        <is>
          <t>3. Published impact metrics</t>
        </is>
      </c>
      <c r="B66" s="28" t="inlineStr">
        <is>
          <t>2022 job placements</t>
        </is>
      </c>
      <c r="C66" s="35" t="n">
        <v>1116</v>
      </c>
      <c r="D66" s="30" t="inlineStr">
        <is>
          <t>people</t>
        </is>
      </c>
      <c r="E66" s="31" t="inlineStr">
        <is>
          <t>PUBLIC</t>
        </is>
      </c>
      <c r="F66" s="32" t="inlineStr">
        <is>
          <t>Upwardly Global, 2022 Annual Report 'By the Numbers' - https://annual-report.upwardlyglobal.org/2022/by-the-numbers/</t>
        </is>
      </c>
      <c r="G66" s="33" t="inlineStr">
        <is>
          <t>7,041 program participants across career-coaching and online programs; 1,116 placed in thriving-wage jobs; $66,481 average annual starting salary.</t>
        </is>
      </c>
    </row>
    <row r="67" ht="26" customHeight="1">
      <c r="A67" s="20" t="inlineStr">
        <is>
          <t>3. Published impact metrics</t>
        </is>
      </c>
      <c r="B67" s="21" t="inlineStr">
        <is>
          <t>2022 average starting salary</t>
        </is>
      </c>
      <c r="C67" s="36" t="n">
        <v>66481</v>
      </c>
      <c r="D67" s="23" t="inlineStr">
        <is>
          <t>USD</t>
        </is>
      </c>
      <c r="E67" s="24" t="inlineStr">
        <is>
          <t>PUBLIC</t>
        </is>
      </c>
      <c r="F67" s="25" t="inlineStr">
        <is>
          <t>Upwardly Global, 2022 Annual Report 'By the Numbers' - https://annual-report.upwardlyglobal.org/2022/by-the-numbers/</t>
        </is>
      </c>
      <c r="G67" s="26" t="inlineStr">
        <is>
          <t>7,041 program participants across career-coaching and online programs; 1,116 placed in thriving-wage jobs; $66,481 average annual starting salary.</t>
        </is>
      </c>
    </row>
    <row r="68" ht="26" customHeight="1">
      <c r="A68" s="27" t="inlineStr">
        <is>
          <t>3. Published impact metrics</t>
        </is>
      </c>
      <c r="B68" s="28" t="inlineStr">
        <is>
          <t>2025 participants served</t>
        </is>
      </c>
      <c r="C68" s="35" t="n">
        <v>13350</v>
      </c>
      <c r="D68" s="30" t="inlineStr">
        <is>
          <t>people</t>
        </is>
      </c>
      <c r="E68" s="31" t="inlineStr">
        <is>
          <t>PUBLIC</t>
        </is>
      </c>
      <c r="F68" s="32" t="inlineStr">
        <is>
          <t>Upwardly Global, Impact page (2025 annual metrics) - https://www.upwardlyglobal.org/impact/</t>
        </is>
      </c>
      <c r="G68" s="33" t="inlineStr">
        <is>
          <t>13,350 jobseekers supported; 1,730+ placed; $67,580 average starting salary; $58,790 average salary gain; 100+ employer partners; 87 workforce partnerships.</t>
        </is>
      </c>
    </row>
    <row r="69" ht="26" customHeight="1">
      <c r="A69" s="20" t="inlineStr">
        <is>
          <t>3. Published impact metrics</t>
        </is>
      </c>
      <c r="B69" s="21" t="inlineStr">
        <is>
          <t>2025 job placements</t>
        </is>
      </c>
      <c r="C69" s="36" t="n">
        <v>1730</v>
      </c>
      <c r="D69" s="23" t="inlineStr">
        <is>
          <t>people</t>
        </is>
      </c>
      <c r="E69" s="24" t="inlineStr">
        <is>
          <t>PUBLIC</t>
        </is>
      </c>
      <c r="F69" s="25" t="inlineStr">
        <is>
          <t>Upwardly Global, Impact page (2025 annual metrics) - https://www.upwardlyglobal.org/impact/</t>
        </is>
      </c>
      <c r="G69" s="26" t="inlineStr">
        <is>
          <t>13,350 jobseekers supported; 1,730+ placed; $67,580 average starting salary; $58,790 average salary gain; 100+ employer partners; 87 workforce partnerships.</t>
        </is>
      </c>
    </row>
    <row r="70" ht="26" customHeight="1">
      <c r="A70" s="27" t="inlineStr">
        <is>
          <t>3. Published impact metrics</t>
        </is>
      </c>
      <c r="B70" s="28" t="inlineStr">
        <is>
          <t>2025 average starting salary</t>
        </is>
      </c>
      <c r="C70" s="35" t="n">
        <v>67580</v>
      </c>
      <c r="D70" s="30" t="inlineStr">
        <is>
          <t>USD</t>
        </is>
      </c>
      <c r="E70" s="31" t="inlineStr">
        <is>
          <t>PUBLIC</t>
        </is>
      </c>
      <c r="F70" s="32" t="inlineStr">
        <is>
          <t>Upwardly Global, Impact page (2025 annual metrics) - https://www.upwardlyglobal.org/impact/</t>
        </is>
      </c>
      <c r="G70" s="33" t="inlineStr">
        <is>
          <t>13,350 jobseekers supported; 1,730+ placed; $67,580 average starting salary; $58,790 average salary gain; 100+ employer partners; 87 workforce partnerships.</t>
        </is>
      </c>
    </row>
    <row r="71" ht="26" customHeight="1">
      <c r="A71" s="20" t="inlineStr">
        <is>
          <t>3. Published impact metrics</t>
        </is>
      </c>
      <c r="B71" s="21" t="inlineStr">
        <is>
          <t>2025 average salary gain</t>
        </is>
      </c>
      <c r="C71" s="36" t="n">
        <v>58790</v>
      </c>
      <c r="D71" s="23" t="inlineStr">
        <is>
          <t>USD</t>
        </is>
      </c>
      <c r="E71" s="24" t="inlineStr">
        <is>
          <t>PUBLIC</t>
        </is>
      </c>
      <c r="F71" s="25" t="inlineStr">
        <is>
          <t>Upwardly Global, Impact page (2025 annual metrics) - https://www.upwardlyglobal.org/impact/</t>
        </is>
      </c>
      <c r="G71" s="26" t="inlineStr">
        <is>
          <t>Used as an external calibration check on the synthetic program mix.</t>
        </is>
      </c>
    </row>
    <row r="72" ht="26" customHeight="1">
      <c r="A72" s="27" t="inlineStr">
        <is>
          <t>3. Published impact metrics</t>
        </is>
      </c>
      <c r="B72" s="28" t="inlineStr">
        <is>
          <t>Interpolation method for unpublished years</t>
        </is>
      </c>
      <c r="C72" s="29" t="inlineStr">
        <is>
          <t>Participant and placement counts are published for 2022 and ...</t>
        </is>
      </c>
      <c r="D72" s="30" t="inlineStr">
        <is>
          <t>text</t>
        </is>
      </c>
      <c r="E72" s="31" t="inlineStr">
        <is>
          <t>DERIVED</t>
        </is>
      </c>
      <c r="F72" s="32" t="inlineStr">
        <is>
          <t>Upwardly Global, 2022 Annual Report 'By the Numbers' - https://annual-report.upwardlyglobal.org/2022/by-the-numbers/; Upwardly Global, Impact page (2025 annual metrics) - https://www.upwardlyglobal.org/impact/</t>
        </is>
      </c>
      <c r="G72" s="33" t="inlineStr">
        <is>
          <t>Two real observations, constant growth between them. No free parameters.</t>
        </is>
      </c>
    </row>
    <row r="73" ht="26" customHeight="1">
      <c r="A73" s="20" t="inlineStr">
        <is>
          <t>4. Sector benchmarks</t>
        </is>
      </c>
      <c r="B73" s="21" t="inlineStr">
        <is>
          <t>Minimum program expense ratio</t>
        </is>
      </c>
      <c r="C73" s="38" t="n">
        <v>0.65</v>
      </c>
      <c r="D73" s="23" t="inlineStr">
        <is>
          <t>% of total expenses</t>
        </is>
      </c>
      <c r="E73" s="39" t="inlineStr">
        <is>
          <t>BENCHMARK</t>
        </is>
      </c>
      <c r="F73" s="25" t="inlineStr">
        <is>
          <t>BBB Wise Giving Alliance, Standards for Charity Accountability, Standards 8, 9 and 10 - https://give.org/bbb-standards-for-charity-accountability</t>
        </is>
      </c>
      <c r="G73" s="26" t="inlineStr">
        <is>
          <t>BBB Standard 8: spend at least 65% of total expenses on program activities.</t>
        </is>
      </c>
    </row>
    <row r="74" ht="26" customHeight="1">
      <c r="A74" s="27" t="inlineStr">
        <is>
          <t>4. Sector benchmarks</t>
        </is>
      </c>
      <c r="B74" s="28" t="inlineStr">
        <is>
          <t>Maximum fundraising cost ratio</t>
        </is>
      </c>
      <c r="C74" s="40" t="n">
        <v>0.35</v>
      </c>
      <c r="D74" s="30" t="inlineStr">
        <is>
          <t>% of related contributions</t>
        </is>
      </c>
      <c r="E74" s="31" t="inlineStr">
        <is>
          <t>BENCHMARK</t>
        </is>
      </c>
      <c r="F74" s="32" t="inlineStr">
        <is>
          <t>BBB Wise Giving Alliance, Standards for Charity Accountability, Standards 8, 9 and 10 - https://give.org/bbb-standards-for-charity-accountability</t>
        </is>
      </c>
      <c r="G74" s="33" t="inlineStr">
        <is>
          <t>BBB Standard 9: spend no more than 35% of related contributions on fundraising.</t>
        </is>
      </c>
    </row>
    <row r="75" ht="26" customHeight="1">
      <c r="A75" s="20" t="inlineStr">
        <is>
          <t>4. Sector benchmarks</t>
        </is>
      </c>
      <c r="B75" s="21" t="inlineStr">
        <is>
          <t>Maximum unrestricted net assets</t>
        </is>
      </c>
      <c r="C75" s="38" t="n">
        <v>3</v>
      </c>
      <c r="D75" s="23" t="inlineStr">
        <is>
          <t>x annual expenses</t>
        </is>
      </c>
      <c r="E75" s="39" t="inlineStr">
        <is>
          <t>BENCHMARK</t>
        </is>
      </c>
      <c r="F75" s="25" t="inlineStr">
        <is>
          <t>BBB Wise Giving Alliance, Standards for Charity Accountability, Standards 8, 9 and 10 - https://give.org/bbb-standards-for-charity-accountability</t>
        </is>
      </c>
      <c r="G75" s="26" t="inlineStr">
        <is>
          <t>BBB Standard 10: unrestricted net assets available for use should not exceed three times the prior year's expenses or the current year's budget, whichever is higher. This is the binding constraint at the top of the range for this organization.</t>
        </is>
      </c>
    </row>
    <row r="76" ht="26" customHeight="1">
      <c r="A76" s="27" t="inlineStr">
        <is>
          <t>4. Sector benchmarks</t>
        </is>
      </c>
      <c r="B76" s="28" t="inlineStr">
        <is>
          <t>Operating reserve, low end of target</t>
        </is>
      </c>
      <c r="C76" s="41" t="n">
        <v>3</v>
      </c>
      <c r="D76" s="30" t="inlineStr">
        <is>
          <t>months of expenses</t>
        </is>
      </c>
      <c r="E76" s="31" t="inlineStr">
        <is>
          <t>BENCHMARK</t>
        </is>
      </c>
      <c r="F76" s="32" t="inlineStr">
        <is>
          <t>Propel Nonprofits, Operating Reserves with Nonprofit Policy Examples - https://propelnonprofits.org/resources/operating-reserves-with-nonprofit-policy-examples/</t>
        </is>
      </c>
      <c r="G76" s="33" t="inlineStr">
        <is>
          <t>Propel Nonprofits: a commonly used reserve goal is three to six months of expenses.</t>
        </is>
      </c>
    </row>
    <row r="77" ht="26" customHeight="1">
      <c r="A77" s="20" t="inlineStr">
        <is>
          <t>4. Sector benchmarks</t>
        </is>
      </c>
      <c r="B77" s="21" t="inlineStr">
        <is>
          <t>Operating reserve, high end of target</t>
        </is>
      </c>
      <c r="C77" s="38" t="n">
        <v>6</v>
      </c>
      <c r="D77" s="23" t="inlineStr">
        <is>
          <t>months of expenses</t>
        </is>
      </c>
      <c r="E77" s="39" t="inlineStr">
        <is>
          <t>BENCHMARK</t>
        </is>
      </c>
      <c r="F77" s="25" t="inlineStr">
        <is>
          <t>Propel Nonprofits, Operating Reserves with Nonprofit Policy Examples - https://propelnonprofits.org/resources/operating-reserves-with-nonprofit-policy-examples/</t>
        </is>
      </c>
      <c r="G77" s="26" t="inlineStr">
        <is>
          <t>Propel Nonprofits: a commonly used reserve goal is three to six months of expenses.</t>
        </is>
      </c>
    </row>
    <row r="78" ht="26" customHeight="1">
      <c r="A78" s="27" t="inlineStr">
        <is>
          <t>4. Sector benchmarks</t>
        </is>
      </c>
      <c r="B78" s="28" t="inlineStr">
        <is>
          <t>Reserve ceiling</t>
        </is>
      </c>
      <c r="C78" s="41" t="n">
        <v>24</v>
      </c>
      <c r="D78" s="30" t="inlineStr">
        <is>
          <t>months of expenses</t>
        </is>
      </c>
      <c r="E78" s="31" t="inlineStr">
        <is>
          <t>BENCHMARK</t>
        </is>
      </c>
      <c r="F78" s="32" t="inlineStr">
        <is>
          <t>Propel Nonprofits, Operating Reserves with Nonprofit Policy Examples - https://propelnonprofits.org/resources/operating-reserves-with-nonprofit-policy-examples/</t>
        </is>
      </c>
      <c r="G78" s="33" t="inlineStr">
        <is>
          <t>Propel Nonprofits: at the high end, reserves should not exceed two years of budget.</t>
        </is>
      </c>
    </row>
    <row r="79" ht="26" customHeight="1">
      <c r="A79" s="20" t="inlineStr">
        <is>
          <t>5. Functional expense allocation (modelled)</t>
        </is>
      </c>
      <c r="B79" s="21" t="inlineStr">
        <is>
          <t>FY2019 program services share</t>
        </is>
      </c>
      <c r="C79" s="42" t="n">
        <v>0.762</v>
      </c>
      <c r="D79" s="23" t="inlineStr">
        <is>
          <t>% of expenses</t>
        </is>
      </c>
      <c r="E79" s="43" t="inlineStr">
        <is>
          <t>SYNTHETIC</t>
        </is>
      </c>
      <c r="F79" s="25" t="inlineStr">
        <is>
          <t>Analyst assumption - see 09_Management_Report.pdf for rationale</t>
        </is>
      </c>
      <c r="G79" s="26" t="inlineStr">
        <is>
          <t>Applied to the filed total expense figure for each year, so program + management and general + fundraising reconciles exactly to the Form 990 total. The gentle upward drift in the program share reflects fixed-cost absorption as the organization roughly tripled in size between FY2019 and FY2024: administrative capacity grew more slowly than programs. Treat the level as an assumption and the direction as the analytically meaningful part.</t>
        </is>
      </c>
    </row>
    <row r="80" ht="26" customHeight="1">
      <c r="A80" s="27" t="inlineStr">
        <is>
          <t>5. Functional expense allocation (modelled)</t>
        </is>
      </c>
      <c r="B80" s="28" t="inlineStr">
        <is>
          <t>FY2019 management and general share</t>
        </is>
      </c>
      <c r="C80" s="44" t="n">
        <v>0.14</v>
      </c>
      <c r="D80" s="30" t="inlineStr">
        <is>
          <t>% of expenses</t>
        </is>
      </c>
      <c r="E80" s="31" t="inlineStr">
        <is>
          <t>SYNTHETIC</t>
        </is>
      </c>
      <c r="F80" s="32" t="inlineStr">
        <is>
          <t>Analyst assumption - see 09_Management_Report.pdf for rationale</t>
        </is>
      </c>
      <c r="G80" s="33" t="inlineStr">
        <is>
          <t>Applied to the filed total expense figure for each year, so program + management and general + fundraising reconciles exactly to the Form 990 total. The gentle upward drift in the program share reflects fixed-cost absorption as the organization roughly tripled in size between FY2019 and FY2024: administrative capacity grew more slowly than programs. Treat the level as an assumption and the direction as the analytically meaningful part.</t>
        </is>
      </c>
    </row>
    <row r="81" ht="26" customHeight="1">
      <c r="A81" s="20" t="inlineStr">
        <is>
          <t>5. Functional expense allocation (modelled)</t>
        </is>
      </c>
      <c r="B81" s="21" t="inlineStr">
        <is>
          <t>FY2019 fundraising share</t>
        </is>
      </c>
      <c r="C81" s="42" t="n">
        <v>0.098</v>
      </c>
      <c r="D81" s="23" t="inlineStr">
        <is>
          <t>% of expenses</t>
        </is>
      </c>
      <c r="E81" s="43" t="inlineStr">
        <is>
          <t>SYNTHETIC</t>
        </is>
      </c>
      <c r="F81" s="25" t="inlineStr">
        <is>
          <t>Analyst assumption - see 09_Management_Report.pdf for rationale</t>
        </is>
      </c>
      <c r="G81" s="26" t="inlineStr">
        <is>
          <t>Applied to the filed total expense figure for each year, so program + management and general + fundraising reconciles exactly to the Form 990 total. The gentle upward drift in the program share reflects fixed-cost absorption as the organization roughly tripled in size between FY2019 and FY2024: administrative capacity grew more slowly than programs. Treat the level as an assumption and the direction as the analytically meaningful part.</t>
        </is>
      </c>
    </row>
    <row r="82" ht="26" customHeight="1">
      <c r="A82" s="27" t="inlineStr">
        <is>
          <t>5. Functional expense allocation (modelled)</t>
        </is>
      </c>
      <c r="B82" s="28" t="inlineStr">
        <is>
          <t>FY2020 program services share</t>
        </is>
      </c>
      <c r="C82" s="44" t="n">
        <v>0.768</v>
      </c>
      <c r="D82" s="30" t="inlineStr">
        <is>
          <t>% of expenses</t>
        </is>
      </c>
      <c r="E82" s="31" t="inlineStr">
        <is>
          <t>SYNTHETIC</t>
        </is>
      </c>
      <c r="F82" s="32" t="inlineStr">
        <is>
          <t>Analyst assumption - see 09_Management_Report.pdf for rationale</t>
        </is>
      </c>
      <c r="G82" s="33" t="inlineStr">
        <is>
          <t>Applied to the filed total expense figure for each year, so program + management and general + fundraising reconciles exactly to the Form 990 total. The gentle upward drift in the program share reflects fixed-cost absorption as the organization roughly tripled in size between FY2019 and FY2024: administrative capacity grew more slowly than programs. Treat the level as an assumption and the direction as the analytically meaningful part.</t>
        </is>
      </c>
    </row>
    <row r="83" ht="26" customHeight="1">
      <c r="A83" s="20" t="inlineStr">
        <is>
          <t>5. Functional expense allocation (modelled)</t>
        </is>
      </c>
      <c r="B83" s="21" t="inlineStr">
        <is>
          <t>FY2020 management and general share</t>
        </is>
      </c>
      <c r="C83" s="42" t="n">
        <v>0.137</v>
      </c>
      <c r="D83" s="23" t="inlineStr">
        <is>
          <t>% of expenses</t>
        </is>
      </c>
      <c r="E83" s="43" t="inlineStr">
        <is>
          <t>SYNTHETIC</t>
        </is>
      </c>
      <c r="F83" s="25" t="inlineStr">
        <is>
          <t>Analyst assumption - see 09_Management_Report.pdf for rationale</t>
        </is>
      </c>
      <c r="G83" s="26" t="inlineStr">
        <is>
          <t>Applied to the filed total expense figure for each year, so program + management and general + fundraising reconciles exactly to the Form 990 total. The gentle upward drift in the program share reflects fixed-cost absorption as the organization roughly tripled in size between FY2019 and FY2024: administrative capacity grew more slowly than programs. Treat the level as an assumption and the direction as the analytically meaningful part.</t>
        </is>
      </c>
    </row>
    <row r="84" ht="26" customHeight="1">
      <c r="A84" s="27" t="inlineStr">
        <is>
          <t>5. Functional expense allocation (modelled)</t>
        </is>
      </c>
      <c r="B84" s="28" t="inlineStr">
        <is>
          <t>FY2020 fundraising share</t>
        </is>
      </c>
      <c r="C84" s="44" t="n">
        <v>0.095</v>
      </c>
      <c r="D84" s="30" t="inlineStr">
        <is>
          <t>% of expenses</t>
        </is>
      </c>
      <c r="E84" s="31" t="inlineStr">
        <is>
          <t>SYNTHETIC</t>
        </is>
      </c>
      <c r="F84" s="32" t="inlineStr">
        <is>
          <t>Analyst assumption - see 09_Management_Report.pdf for rationale</t>
        </is>
      </c>
      <c r="G84" s="33" t="inlineStr">
        <is>
          <t>Applied to the filed total expense figure for each year, so program + management and general + fundraising reconciles exactly to the Form 990 total. The gentle upward drift in the program share reflects fixed-cost absorption as the organization roughly tripled in size between FY2019 and FY2024: administrative capacity grew more slowly than programs. Treat the level as an assumption and the direction as the analytically meaningful part.</t>
        </is>
      </c>
    </row>
    <row r="85" ht="26" customHeight="1">
      <c r="A85" s="20" t="inlineStr">
        <is>
          <t>5. Functional expense allocation (modelled)</t>
        </is>
      </c>
      <c r="B85" s="21" t="inlineStr">
        <is>
          <t>FY2021 program services share</t>
        </is>
      </c>
      <c r="C85" s="42" t="n">
        <v>0.774</v>
      </c>
      <c r="D85" s="23" t="inlineStr">
        <is>
          <t>% of expenses</t>
        </is>
      </c>
      <c r="E85" s="43" t="inlineStr">
        <is>
          <t>SYNTHETIC</t>
        </is>
      </c>
      <c r="F85" s="25" t="inlineStr">
        <is>
          <t>Analyst assumption - see 09_Management_Report.pdf for rationale</t>
        </is>
      </c>
      <c r="G85" s="26" t="inlineStr">
        <is>
          <t>Applied to the filed total expense figure for each year, so program + management and general + fundraising reconciles exactly to the Form 990 total. The gentle upward drift in the program share reflects fixed-cost absorption as the organization roughly tripled in size between FY2019 and FY2024: administrative capacity grew more slowly than programs. Treat the level as an assumption and the direction as the analytically meaningful part.</t>
        </is>
      </c>
    </row>
    <row r="86" ht="26" customHeight="1">
      <c r="A86" s="27" t="inlineStr">
        <is>
          <t>5. Functional expense allocation (modelled)</t>
        </is>
      </c>
      <c r="B86" s="28" t="inlineStr">
        <is>
          <t>FY2021 management and general share</t>
        </is>
      </c>
      <c r="C86" s="44" t="n">
        <v>0.134</v>
      </c>
      <c r="D86" s="30" t="inlineStr">
        <is>
          <t>% of expenses</t>
        </is>
      </c>
      <c r="E86" s="31" t="inlineStr">
        <is>
          <t>SYNTHETIC</t>
        </is>
      </c>
      <c r="F86" s="32" t="inlineStr">
        <is>
          <t>Analyst assumption - see 09_Management_Report.pdf for rationale</t>
        </is>
      </c>
      <c r="G86" s="33" t="inlineStr">
        <is>
          <t>Applied to the filed total expense figure for each year, so program + management and general + fundraising reconciles exactly to the Form 990 total. The gentle upward drift in the program share reflects fixed-cost absorption as the organization roughly tripled in size between FY2019 and FY2024: administrative capacity grew more slowly than programs. Treat the level as an assumption and the direction as the analytically meaningful part.</t>
        </is>
      </c>
    </row>
    <row r="87" ht="26" customHeight="1">
      <c r="A87" s="20" t="inlineStr">
        <is>
          <t>5. Functional expense allocation (modelled)</t>
        </is>
      </c>
      <c r="B87" s="21" t="inlineStr">
        <is>
          <t>FY2021 fundraising share</t>
        </is>
      </c>
      <c r="C87" s="42" t="n">
        <v>0.092</v>
      </c>
      <c r="D87" s="23" t="inlineStr">
        <is>
          <t>% of expenses</t>
        </is>
      </c>
      <c r="E87" s="43" t="inlineStr">
        <is>
          <t>SYNTHETIC</t>
        </is>
      </c>
      <c r="F87" s="25" t="inlineStr">
        <is>
          <t>Analyst assumption - see 09_Management_Report.pdf for rationale</t>
        </is>
      </c>
      <c r="G87" s="26" t="inlineStr">
        <is>
          <t>Applied to the filed total expense figure for each year, so program + management and general + fundraising reconciles exactly to the Form 990 total. The gentle upward drift in the program share reflects fixed-cost absorption as the organization roughly tripled in size between FY2019 and FY2024: administrative capacity grew more slowly than programs. Treat the level as an assumption and the direction as the analytically meaningful part.</t>
        </is>
      </c>
    </row>
    <row r="88" ht="26" customHeight="1">
      <c r="A88" s="27" t="inlineStr">
        <is>
          <t>5. Functional expense allocation (modelled)</t>
        </is>
      </c>
      <c r="B88" s="28" t="inlineStr">
        <is>
          <t>FY2022 program services share</t>
        </is>
      </c>
      <c r="C88" s="44" t="n">
        <v>0.78</v>
      </c>
      <c r="D88" s="30" t="inlineStr">
        <is>
          <t>% of expenses</t>
        </is>
      </c>
      <c r="E88" s="31" t="inlineStr">
        <is>
          <t>SYNTHETIC</t>
        </is>
      </c>
      <c r="F88" s="32" t="inlineStr">
        <is>
          <t>Analyst assumption - see 09_Management_Report.pdf for rationale</t>
        </is>
      </c>
      <c r="G88" s="33" t="inlineStr">
        <is>
          <t>Applied to the filed total expense figure for each year, so program + management and general + fundraising reconciles exactly to the Form 990 total. The gentle upward drift in the program share reflects fixed-cost absorption as the organization roughly tripled in size between FY2019 and FY2024: administrative capacity grew more slowly than programs. Treat the level as an assumption and the direction as the analytically meaningful part.</t>
        </is>
      </c>
    </row>
    <row r="89" ht="26" customHeight="1">
      <c r="A89" s="20" t="inlineStr">
        <is>
          <t>5. Functional expense allocation (modelled)</t>
        </is>
      </c>
      <c r="B89" s="21" t="inlineStr">
        <is>
          <t>FY2022 management and general share</t>
        </is>
      </c>
      <c r="C89" s="42" t="n">
        <v>0.129</v>
      </c>
      <c r="D89" s="23" t="inlineStr">
        <is>
          <t>% of expenses</t>
        </is>
      </c>
      <c r="E89" s="43" t="inlineStr">
        <is>
          <t>SYNTHETIC</t>
        </is>
      </c>
      <c r="F89" s="25" t="inlineStr">
        <is>
          <t>Analyst assumption - see 09_Management_Report.pdf for rationale</t>
        </is>
      </c>
      <c r="G89" s="26" t="inlineStr">
        <is>
          <t>Applied to the filed total expense figure for each year, so program + management and general + fundraising reconciles exactly to the Form 990 total. The gentle upward drift in the program share reflects fixed-cost absorption as the organization roughly tripled in size between FY2019 and FY2024: administrative capacity grew more slowly than programs. Treat the level as an assumption and the direction as the analytically meaningful part.</t>
        </is>
      </c>
    </row>
    <row r="90" ht="26" customHeight="1">
      <c r="A90" s="27" t="inlineStr">
        <is>
          <t>5. Functional expense allocation (modelled)</t>
        </is>
      </c>
      <c r="B90" s="28" t="inlineStr">
        <is>
          <t>FY2022 fundraising share</t>
        </is>
      </c>
      <c r="C90" s="44" t="n">
        <v>0.091</v>
      </c>
      <c r="D90" s="30" t="inlineStr">
        <is>
          <t>% of expenses</t>
        </is>
      </c>
      <c r="E90" s="31" t="inlineStr">
        <is>
          <t>SYNTHETIC</t>
        </is>
      </c>
      <c r="F90" s="32" t="inlineStr">
        <is>
          <t>Analyst assumption - see 09_Management_Report.pdf for rationale</t>
        </is>
      </c>
      <c r="G90" s="33" t="inlineStr">
        <is>
          <t>Applied to the filed total expense figure for each year, so program + management and general + fundraising reconciles exactly to the Form 990 total. The gentle upward drift in the program share reflects fixed-cost absorption as the organization roughly tripled in size between FY2019 and FY2024: administrative capacity grew more slowly than programs. Treat the level as an assumption and the direction as the analytically meaningful part.</t>
        </is>
      </c>
    </row>
    <row r="91" ht="26" customHeight="1">
      <c r="A91" s="20" t="inlineStr">
        <is>
          <t>5. Functional expense allocation (modelled)</t>
        </is>
      </c>
      <c r="B91" s="21" t="inlineStr">
        <is>
          <t>FY2023 program services share</t>
        </is>
      </c>
      <c r="C91" s="42" t="n">
        <v>0.783</v>
      </c>
      <c r="D91" s="23" t="inlineStr">
        <is>
          <t>% of expenses</t>
        </is>
      </c>
      <c r="E91" s="43" t="inlineStr">
        <is>
          <t>SYNTHETIC</t>
        </is>
      </c>
      <c r="F91" s="25" t="inlineStr">
        <is>
          <t>Analyst assumption - see 09_Management_Report.pdf for rationale</t>
        </is>
      </c>
      <c r="G91" s="26" t="inlineStr">
        <is>
          <t>Applied to the filed total expense figure for each year, so program + management and general + fundraising reconciles exactly to the Form 990 total. The gentle upward drift in the program share reflects fixed-cost absorption as the organization roughly tripled in size between FY2019 and FY2024: administrative capacity grew more slowly than programs. Treat the level as an assumption and the direction as the analytically meaningful part.</t>
        </is>
      </c>
    </row>
    <row r="92" ht="26" customHeight="1">
      <c r="A92" s="27" t="inlineStr">
        <is>
          <t>5. Functional expense allocation (modelled)</t>
        </is>
      </c>
      <c r="B92" s="28" t="inlineStr">
        <is>
          <t>FY2023 management and general share</t>
        </is>
      </c>
      <c r="C92" s="44" t="n">
        <v>0.124</v>
      </c>
      <c r="D92" s="30" t="inlineStr">
        <is>
          <t>% of expenses</t>
        </is>
      </c>
      <c r="E92" s="31" t="inlineStr">
        <is>
          <t>SYNTHETIC</t>
        </is>
      </c>
      <c r="F92" s="32" t="inlineStr">
        <is>
          <t>Analyst assumption - see 09_Management_Report.pdf for rationale</t>
        </is>
      </c>
      <c r="G92" s="33" t="inlineStr">
        <is>
          <t>Applied to the filed total expense figure for each year, so program + management and general + fundraising reconciles exactly to the Form 990 total. The gentle upward drift in the program share reflects fixed-cost absorption as the organization roughly tripled in size between FY2019 and FY2024: administrative capacity grew more slowly than programs. Treat the level as an assumption and the direction as the analytically meaningful part.</t>
        </is>
      </c>
    </row>
    <row r="93" ht="26" customHeight="1">
      <c r="A93" s="20" t="inlineStr">
        <is>
          <t>5. Functional expense allocation (modelled)</t>
        </is>
      </c>
      <c r="B93" s="21" t="inlineStr">
        <is>
          <t>FY2023 fundraising share</t>
        </is>
      </c>
      <c r="C93" s="42" t="n">
        <v>0.093</v>
      </c>
      <c r="D93" s="23" t="inlineStr">
        <is>
          <t>% of expenses</t>
        </is>
      </c>
      <c r="E93" s="43" t="inlineStr">
        <is>
          <t>SYNTHETIC</t>
        </is>
      </c>
      <c r="F93" s="25" t="inlineStr">
        <is>
          <t>Analyst assumption - see 09_Management_Report.pdf for rationale</t>
        </is>
      </c>
      <c r="G93" s="26" t="inlineStr">
        <is>
          <t>Applied to the filed total expense figure for each year, so program + management and general + fundraising reconciles exactly to the Form 990 total. The gentle upward drift in the program share reflects fixed-cost absorption as the organization roughly tripled in size between FY2019 and FY2024: administrative capacity grew more slowly than programs. Treat the level as an assumption and the direction as the analytically meaningful part.</t>
        </is>
      </c>
    </row>
    <row r="94" ht="26" customHeight="1">
      <c r="A94" s="27" t="inlineStr">
        <is>
          <t>5. Functional expense allocation (modelled)</t>
        </is>
      </c>
      <c r="B94" s="28" t="inlineStr">
        <is>
          <t>FY2024 program services share</t>
        </is>
      </c>
      <c r="C94" s="44" t="n">
        <v>0.785</v>
      </c>
      <c r="D94" s="30" t="inlineStr">
        <is>
          <t>% of expenses</t>
        </is>
      </c>
      <c r="E94" s="31" t="inlineStr">
        <is>
          <t>SYNTHETIC</t>
        </is>
      </c>
      <c r="F94" s="32" t="inlineStr">
        <is>
          <t>Analyst assumption - see 09_Management_Report.pdf for rationale</t>
        </is>
      </c>
      <c r="G94" s="33" t="inlineStr">
        <is>
          <t>Applied to the filed total expense figure for each year, so program + management and general + fundraising reconciles exactly to the Form 990 total. The gentle upward drift in the program share reflects fixed-cost absorption as the organization roughly tripled in size between FY2019 and FY2024: administrative capacity grew more slowly than programs. Treat the level as an assumption and the direction as the analytically meaningful part.</t>
        </is>
      </c>
    </row>
    <row r="95" ht="26" customHeight="1">
      <c r="A95" s="20" t="inlineStr">
        <is>
          <t>5. Functional expense allocation (modelled)</t>
        </is>
      </c>
      <c r="B95" s="21" t="inlineStr">
        <is>
          <t>FY2024 management and general share</t>
        </is>
      </c>
      <c r="C95" s="42" t="n">
        <v>0.12</v>
      </c>
      <c r="D95" s="23" t="inlineStr">
        <is>
          <t>% of expenses</t>
        </is>
      </c>
      <c r="E95" s="43" t="inlineStr">
        <is>
          <t>SYNTHETIC</t>
        </is>
      </c>
      <c r="F95" s="25" t="inlineStr">
        <is>
          <t>Analyst assumption - see 09_Management_Report.pdf for rationale</t>
        </is>
      </c>
      <c r="G95" s="26" t="inlineStr">
        <is>
          <t>Applied to the filed total expense figure for each year, so program + management and general + fundraising reconciles exactly to the Form 990 total. The gentle upward drift in the program share reflects fixed-cost absorption as the organization roughly tripled in size between FY2019 and FY2024: administrative capacity grew more slowly than programs. Treat the level as an assumption and the direction as the analytically meaningful part.</t>
        </is>
      </c>
    </row>
    <row r="96" ht="26" customHeight="1">
      <c r="A96" s="27" t="inlineStr">
        <is>
          <t>5. Functional expense allocation (modelled)</t>
        </is>
      </c>
      <c r="B96" s="28" t="inlineStr">
        <is>
          <t>FY2024 fundraising share</t>
        </is>
      </c>
      <c r="C96" s="44" t="n">
        <v>0.095</v>
      </c>
      <c r="D96" s="30" t="inlineStr">
        <is>
          <t>% of expenses</t>
        </is>
      </c>
      <c r="E96" s="31" t="inlineStr">
        <is>
          <t>SYNTHETIC</t>
        </is>
      </c>
      <c r="F96" s="32" t="inlineStr">
        <is>
          <t>Analyst assumption - see 09_Management_Report.pdf for rationale</t>
        </is>
      </c>
      <c r="G96" s="33" t="inlineStr">
        <is>
          <t>Applied to the filed total expense figure for each year, so program + management and general + fundraising reconciles exactly to the Form 990 total. The gentle upward drift in the program share reflects fixed-cost absorption as the organization roughly tripled in size between FY2019 and FY2024: administrative capacity grew more slowly than programs. Treat the level as an assumption and the direction as the analytically meaningful part.</t>
        </is>
      </c>
    </row>
    <row r="97" ht="26" customHeight="1">
      <c r="A97" s="20" t="inlineStr">
        <is>
          <t>6. Revenue composition (modelled)</t>
        </is>
      </c>
      <c r="B97" s="21" t="inlineStr">
        <is>
          <t>Individual donations, share of contributions</t>
        </is>
      </c>
      <c r="C97" s="42" t="n">
        <v>0.12</v>
      </c>
      <c r="D97" s="23" t="inlineStr">
        <is>
          <t>% of contributions</t>
        </is>
      </c>
      <c r="E97" s="43" t="inlineStr">
        <is>
          <t>SYNTHETIC</t>
        </is>
      </c>
      <c r="F97" s="25" t="inlineStr">
        <is>
          <t>Analyst assumption - see 09_Management_Report.pdf for rationale</t>
        </is>
      </c>
      <c r="G97" s="26" t="inlineStr">
        <is>
          <t>Applied to the filed contributions total each year. The heavy weighting toward foundation and government funding is the analytically important feature: these are the two categories that surged during the 2021-2024 humanitarian response and the two most likely to normalize. Individual giving, the most durable category, is the smallest.</t>
        </is>
      </c>
    </row>
    <row r="98" ht="26" customHeight="1">
      <c r="A98" s="27" t="inlineStr">
        <is>
          <t>6. Revenue composition (modelled)</t>
        </is>
      </c>
      <c r="B98" s="28" t="inlineStr">
        <is>
          <t>Corporate donations, share of contributions</t>
        </is>
      </c>
      <c r="C98" s="44" t="n">
        <v>0.21</v>
      </c>
      <c r="D98" s="30" t="inlineStr">
        <is>
          <t>% of contributions</t>
        </is>
      </c>
      <c r="E98" s="31" t="inlineStr">
        <is>
          <t>SYNTHETIC</t>
        </is>
      </c>
      <c r="F98" s="32" t="inlineStr">
        <is>
          <t>Analyst assumption - see 09_Management_Report.pdf for rationale</t>
        </is>
      </c>
      <c r="G98" s="33" t="inlineStr">
        <is>
          <t>Applied to the filed contributions total each year. The heavy weighting toward foundation and government funding is the analytically important feature: these are the two categories that surged during the 2021-2024 humanitarian response and the two most likely to normalize. Individual giving, the most durable category, is the smallest.</t>
        </is>
      </c>
    </row>
    <row r="99" ht="26" customHeight="1">
      <c r="A99" s="20" t="inlineStr">
        <is>
          <t>6. Revenue composition (modelled)</t>
        </is>
      </c>
      <c r="B99" s="21" t="inlineStr">
        <is>
          <t>Foundation grants, share of contributions</t>
        </is>
      </c>
      <c r="C99" s="42" t="n">
        <v>0.44</v>
      </c>
      <c r="D99" s="23" t="inlineStr">
        <is>
          <t>% of contributions</t>
        </is>
      </c>
      <c r="E99" s="43" t="inlineStr">
        <is>
          <t>SYNTHETIC</t>
        </is>
      </c>
      <c r="F99" s="25" t="inlineStr">
        <is>
          <t>Analyst assumption - see 09_Management_Report.pdf for rationale</t>
        </is>
      </c>
      <c r="G99" s="26" t="inlineStr">
        <is>
          <t>Applied to the filed contributions total each year. The heavy weighting toward foundation and government funding is the analytically important feature: these are the two categories that surged during the 2021-2024 humanitarian response and the two most likely to normalize. Individual giving, the most durable category, is the smallest.</t>
        </is>
      </c>
    </row>
    <row r="100" ht="26" customHeight="1">
      <c r="A100" s="27" t="inlineStr">
        <is>
          <t>6. Revenue composition (modelled)</t>
        </is>
      </c>
      <c r="B100" s="28" t="inlineStr">
        <is>
          <t>Government funding, share of contributions</t>
        </is>
      </c>
      <c r="C100" s="44" t="n">
        <v>0.19</v>
      </c>
      <c r="D100" s="30" t="inlineStr">
        <is>
          <t>% of contributions</t>
        </is>
      </c>
      <c r="E100" s="31" t="inlineStr">
        <is>
          <t>SYNTHETIC</t>
        </is>
      </c>
      <c r="F100" s="32" t="inlineStr">
        <is>
          <t>Analyst assumption - see 09_Management_Report.pdf for rationale</t>
        </is>
      </c>
      <c r="G100" s="33" t="inlineStr">
        <is>
          <t>Applied to the filed contributions total each year. The heavy weighting toward foundation and government funding is the analytically important feature: these are the two categories that surged during the 2021-2024 humanitarian response and the two most likely to normalize. Individual giving, the most durable category, is the smallest.</t>
        </is>
      </c>
    </row>
    <row r="101" ht="26" customHeight="1">
      <c r="A101" s="20" t="inlineStr">
        <is>
          <t>6. Revenue composition (modelled)</t>
        </is>
      </c>
      <c r="B101" s="21" t="inlineStr">
        <is>
          <t>Fundraising events, share of contributions</t>
        </is>
      </c>
      <c r="C101" s="42" t="n">
        <v>0.04</v>
      </c>
      <c r="D101" s="23" t="inlineStr">
        <is>
          <t>% of contributions</t>
        </is>
      </c>
      <c r="E101" s="43" t="inlineStr">
        <is>
          <t>SYNTHETIC</t>
        </is>
      </c>
      <c r="F101" s="25" t="inlineStr">
        <is>
          <t>Analyst assumption - see 09_Management_Report.pdf for rationale</t>
        </is>
      </c>
      <c r="G101" s="26" t="inlineStr">
        <is>
          <t>Applied to the filed contributions total each year. The heavy weighting toward foundation and government funding is the analytically important feature: these are the two categories that surged during the 2021-2024 humanitarian response and the two most likely to normalize. Individual giving, the most durable category, is the smallest.</t>
        </is>
      </c>
    </row>
    <row r="102" ht="26" customHeight="1">
      <c r="A102" s="27" t="inlineStr">
        <is>
          <t>6. Revenue composition (modelled)</t>
        </is>
      </c>
      <c r="B102" s="28" t="inlineStr">
        <is>
          <t>Individual donations, FY2024 donor count</t>
        </is>
      </c>
      <c r="C102" s="45" t="n">
        <v>8420</v>
      </c>
      <c r="D102" s="30" t="inlineStr">
        <is>
          <t>donors</t>
        </is>
      </c>
      <c r="E102" s="31" t="inlineStr">
        <is>
          <t>SYNTHETIC</t>
        </is>
      </c>
      <c r="F102" s="32" t="inlineStr">
        <is>
          <t>Analyst assumption - see 09_Management_Report.pdf for rationale</t>
        </is>
      </c>
      <c r="G102" s="33" t="inlineStr">
        <is>
          <t>Donor counts are assumed; average gift is then solved so that donors x average gift equals the modelled category revenue for FY2024, which itself ties to the real contributions total. This makes the forecast driver-based - a change in donor count or average gift flows through the model - while keeping the base year anchored to the filing.</t>
        </is>
      </c>
    </row>
    <row r="103" ht="26" customHeight="1">
      <c r="A103" s="20" t="inlineStr">
        <is>
          <t>6. Revenue composition (modelled)</t>
        </is>
      </c>
      <c r="B103" s="21" t="inlineStr">
        <is>
          <t>Individual donations, FY2024 average gift</t>
        </is>
      </c>
      <c r="C103" s="46" t="n">
        <v>370.7</v>
      </c>
      <c r="D103" s="23" t="inlineStr">
        <is>
          <t>USD</t>
        </is>
      </c>
      <c r="E103" s="37" t="inlineStr">
        <is>
          <t>DERIVED</t>
        </is>
      </c>
      <c r="F103" s="25" t="inlineStr">
        <is>
          <t>Analyst assumption - see 09_Management_Report.pdf for rationale</t>
        </is>
      </c>
      <c r="G103" s="26" t="inlineStr">
        <is>
          <t>Solved so that donors x average gift equals modelled category revenue.</t>
        </is>
      </c>
    </row>
    <row r="104" ht="26" customHeight="1">
      <c r="A104" s="27" t="inlineStr">
        <is>
          <t>6. Revenue composition (modelled)</t>
        </is>
      </c>
      <c r="B104" s="28" t="inlineStr">
        <is>
          <t>Individual donations, donor retention</t>
        </is>
      </c>
      <c r="C104" s="44" t="n">
        <v>0.62</v>
      </c>
      <c r="D104" s="30" t="inlineStr">
        <is>
          <t>%</t>
        </is>
      </c>
      <c r="E104" s="31" t="inlineStr">
        <is>
          <t>SYNTHETIC</t>
        </is>
      </c>
      <c r="F104" s="32" t="inlineStr">
        <is>
          <t>Analyst assumption - see 09_Management_Report.pdf for rationale</t>
        </is>
      </c>
      <c r="G104" s="33" t="inlineStr">
        <is>
          <t>Drives donor-count roll-forward in the forecast.</t>
        </is>
      </c>
    </row>
    <row r="105" ht="26" customHeight="1">
      <c r="A105" s="20" t="inlineStr">
        <is>
          <t>6. Revenue composition (modelled)</t>
        </is>
      </c>
      <c r="B105" s="21" t="inlineStr">
        <is>
          <t>Corporate donations, FY2024 donor count</t>
        </is>
      </c>
      <c r="C105" s="47" t="n">
        <v>214</v>
      </c>
      <c r="D105" s="23" t="inlineStr">
        <is>
          <t>donors</t>
        </is>
      </c>
      <c r="E105" s="43" t="inlineStr">
        <is>
          <t>SYNTHETIC</t>
        </is>
      </c>
      <c r="F105" s="25" t="inlineStr">
        <is>
          <t>Analyst assumption - see 09_Management_Report.pdf for rationale</t>
        </is>
      </c>
      <c r="G105" s="26" t="inlineStr">
        <is>
          <t>Donor counts are assumed; average gift is then solved so that donors x average gift equals the modelled category revenue for FY2024, which itself ties to the real contributions total. This makes the forecast driver-based - a change in donor count or average gift flows through the model - while keeping the base year anchored to the filing.</t>
        </is>
      </c>
    </row>
    <row r="106" ht="26" customHeight="1">
      <c r="A106" s="27" t="inlineStr">
        <is>
          <t>6. Revenue composition (modelled)</t>
        </is>
      </c>
      <c r="B106" s="28" t="inlineStr">
        <is>
          <t>Corporate donations, FY2024 average gift</t>
        </is>
      </c>
      <c r="C106" s="48" t="n">
        <v>25522</v>
      </c>
      <c r="D106" s="30" t="inlineStr">
        <is>
          <t>USD</t>
        </is>
      </c>
      <c r="E106" s="31" t="inlineStr">
        <is>
          <t>DERIVED</t>
        </is>
      </c>
      <c r="F106" s="32" t="inlineStr">
        <is>
          <t>Analyst assumption - see 09_Management_Report.pdf for rationale</t>
        </is>
      </c>
      <c r="G106" s="33" t="inlineStr">
        <is>
          <t>Solved so that donors x average gift equals modelled category revenue.</t>
        </is>
      </c>
    </row>
    <row r="107" ht="26" customHeight="1">
      <c r="A107" s="20" t="inlineStr">
        <is>
          <t>6. Revenue composition (modelled)</t>
        </is>
      </c>
      <c r="B107" s="21" t="inlineStr">
        <is>
          <t>Corporate donations, donor retention</t>
        </is>
      </c>
      <c r="C107" s="42" t="n">
        <v>0.78</v>
      </c>
      <c r="D107" s="23" t="inlineStr">
        <is>
          <t>%</t>
        </is>
      </c>
      <c r="E107" s="43" t="inlineStr">
        <is>
          <t>SYNTHETIC</t>
        </is>
      </c>
      <c r="F107" s="25" t="inlineStr">
        <is>
          <t>Analyst assumption - see 09_Management_Report.pdf for rationale</t>
        </is>
      </c>
      <c r="G107" s="26" t="inlineStr">
        <is>
          <t>Drives donor-count roll-forward in the forecast.</t>
        </is>
      </c>
    </row>
    <row r="108" ht="26" customHeight="1">
      <c r="A108" s="27" t="inlineStr">
        <is>
          <t>6. Revenue composition (modelled)</t>
        </is>
      </c>
      <c r="B108" s="28" t="inlineStr">
        <is>
          <t>Foundation grants, FY2024 donor count</t>
        </is>
      </c>
      <c r="C108" s="45" t="n">
        <v>63</v>
      </c>
      <c r="D108" s="30" t="inlineStr">
        <is>
          <t>donors</t>
        </is>
      </c>
      <c r="E108" s="31" t="inlineStr">
        <is>
          <t>SYNTHETIC</t>
        </is>
      </c>
      <c r="F108" s="32" t="inlineStr">
        <is>
          <t>Analyst assumption - see 09_Management_Report.pdf for rationale</t>
        </is>
      </c>
      <c r="G108" s="33" t="inlineStr">
        <is>
          <t>Donor counts are assumed; average gift is then solved so that donors x average gift equals the modelled category revenue for FY2024, which itself ties to the real contributions total. This makes the forecast driver-based - a change in donor count or average gift flows through the model - while keeping the base year anchored to the filing.</t>
        </is>
      </c>
    </row>
    <row r="109" ht="26" customHeight="1">
      <c r="A109" s="20" t="inlineStr">
        <is>
          <t>6. Revenue composition (modelled)</t>
        </is>
      </c>
      <c r="B109" s="21" t="inlineStr">
        <is>
          <t>Foundation grants, FY2024 average gift</t>
        </is>
      </c>
      <c r="C109" s="46" t="n">
        <v>181644.4</v>
      </c>
      <c r="D109" s="23" t="inlineStr">
        <is>
          <t>USD</t>
        </is>
      </c>
      <c r="E109" s="37" t="inlineStr">
        <is>
          <t>DERIVED</t>
        </is>
      </c>
      <c r="F109" s="25" t="inlineStr">
        <is>
          <t>Analyst assumption - see 09_Management_Report.pdf for rationale</t>
        </is>
      </c>
      <c r="G109" s="26" t="inlineStr">
        <is>
          <t>Solved so that donors x average gift equals modelled category revenue.</t>
        </is>
      </c>
    </row>
    <row r="110" ht="26" customHeight="1">
      <c r="A110" s="27" t="inlineStr">
        <is>
          <t>6. Revenue composition (modelled)</t>
        </is>
      </c>
      <c r="B110" s="28" t="inlineStr">
        <is>
          <t>Foundation grants, donor retention</t>
        </is>
      </c>
      <c r="C110" s="44" t="n">
        <v>0.71</v>
      </c>
      <c r="D110" s="30" t="inlineStr">
        <is>
          <t>%</t>
        </is>
      </c>
      <c r="E110" s="31" t="inlineStr">
        <is>
          <t>SYNTHETIC</t>
        </is>
      </c>
      <c r="F110" s="32" t="inlineStr">
        <is>
          <t>Analyst assumption - see 09_Management_Report.pdf for rationale</t>
        </is>
      </c>
      <c r="G110" s="33" t="inlineStr">
        <is>
          <t>Drives donor-count roll-forward in the forecast.</t>
        </is>
      </c>
    </row>
    <row r="111" ht="26" customHeight="1">
      <c r="A111" s="20" t="inlineStr">
        <is>
          <t>6. Revenue composition (modelled)</t>
        </is>
      </c>
      <c r="B111" s="21" t="inlineStr">
        <is>
          <t>Government funding, FY2024 donor count</t>
        </is>
      </c>
      <c r="C111" s="47" t="n">
        <v>11</v>
      </c>
      <c r="D111" s="23" t="inlineStr">
        <is>
          <t>donors</t>
        </is>
      </c>
      <c r="E111" s="43" t="inlineStr">
        <is>
          <t>SYNTHETIC</t>
        </is>
      </c>
      <c r="F111" s="25" t="inlineStr">
        <is>
          <t>Analyst assumption - see 09_Management_Report.pdf for rationale</t>
        </is>
      </c>
      <c r="G111" s="26" t="inlineStr">
        <is>
          <t>Donor counts are assumed; average gift is then solved so that donors x average gift equals the modelled category revenue for FY2024, which itself ties to the real contributions total. This makes the forecast driver-based - a change in donor count or average gift flows through the model - while keeping the base year anchored to the filing.</t>
        </is>
      </c>
    </row>
    <row r="112" ht="26" customHeight="1">
      <c r="A112" s="27" t="inlineStr">
        <is>
          <t>6. Revenue composition (modelled)</t>
        </is>
      </c>
      <c r="B112" s="28" t="inlineStr">
        <is>
          <t>Government funding, FY2024 average gift</t>
        </is>
      </c>
      <c r="C112" s="48" t="n">
        <v>449232.1</v>
      </c>
      <c r="D112" s="30" t="inlineStr">
        <is>
          <t>USD</t>
        </is>
      </c>
      <c r="E112" s="31" t="inlineStr">
        <is>
          <t>DERIVED</t>
        </is>
      </c>
      <c r="F112" s="32" t="inlineStr">
        <is>
          <t>Analyst assumption - see 09_Management_Report.pdf for rationale</t>
        </is>
      </c>
      <c r="G112" s="33" t="inlineStr">
        <is>
          <t>Solved so that donors x average gift equals modelled category revenue.</t>
        </is>
      </c>
    </row>
    <row r="113" ht="26" customHeight="1">
      <c r="A113" s="20" t="inlineStr">
        <is>
          <t>6. Revenue composition (modelled)</t>
        </is>
      </c>
      <c r="B113" s="21" t="inlineStr">
        <is>
          <t>Government funding, donor retention</t>
        </is>
      </c>
      <c r="C113" s="42" t="n">
        <v>0.83</v>
      </c>
      <c r="D113" s="23" t="inlineStr">
        <is>
          <t>%</t>
        </is>
      </c>
      <c r="E113" s="43" t="inlineStr">
        <is>
          <t>SYNTHETIC</t>
        </is>
      </c>
      <c r="F113" s="25" t="inlineStr">
        <is>
          <t>Analyst assumption - see 09_Management_Report.pdf for rationale</t>
        </is>
      </c>
      <c r="G113" s="26" t="inlineStr">
        <is>
          <t>Drives donor-count roll-forward in the forecast.</t>
        </is>
      </c>
    </row>
    <row r="114" ht="26" customHeight="1">
      <c r="A114" s="27" t="inlineStr">
        <is>
          <t>6. Revenue composition (modelled)</t>
        </is>
      </c>
      <c r="B114" s="28" t="inlineStr">
        <is>
          <t>Fundraising events, FY2024 donor count</t>
        </is>
      </c>
      <c r="C114" s="45" t="n">
        <v>1640</v>
      </c>
      <c r="D114" s="30" t="inlineStr">
        <is>
          <t>donors</t>
        </is>
      </c>
      <c r="E114" s="31" t="inlineStr">
        <is>
          <t>SYNTHETIC</t>
        </is>
      </c>
      <c r="F114" s="32" t="inlineStr">
        <is>
          <t>Analyst assumption - see 09_Management_Report.pdf for rationale</t>
        </is>
      </c>
      <c r="G114" s="33" t="inlineStr">
        <is>
          <t>Donor counts are assumed; average gift is then solved so that donors x average gift equals the modelled category revenue for FY2024, which itself ties to the real contributions total. This makes the forecast driver-based - a change in donor count or average gift flows through the model - while keeping the base year anchored to the filing.</t>
        </is>
      </c>
    </row>
    <row r="115" ht="26" customHeight="1">
      <c r="A115" s="20" t="inlineStr">
        <is>
          <t>6. Revenue composition (modelled)</t>
        </is>
      </c>
      <c r="B115" s="21" t="inlineStr">
        <is>
          <t>Fundraising events, FY2024 average gift</t>
        </is>
      </c>
      <c r="C115" s="46" t="n">
        <v>634.3</v>
      </c>
      <c r="D115" s="23" t="inlineStr">
        <is>
          <t>USD</t>
        </is>
      </c>
      <c r="E115" s="37" t="inlineStr">
        <is>
          <t>DERIVED</t>
        </is>
      </c>
      <c r="F115" s="25" t="inlineStr">
        <is>
          <t>Analyst assumption - see 09_Management_Report.pdf for rationale</t>
        </is>
      </c>
      <c r="G115" s="26" t="inlineStr">
        <is>
          <t>Solved so that donors x average gift equals modelled category revenue.</t>
        </is>
      </c>
    </row>
    <row r="116" ht="26" customHeight="1">
      <c r="A116" s="27" t="inlineStr">
        <is>
          <t>6. Revenue composition (modelled)</t>
        </is>
      </c>
      <c r="B116" s="28" t="inlineStr">
        <is>
          <t>Fundraising events, donor retention</t>
        </is>
      </c>
      <c r="C116" s="44" t="n">
        <v>0.48</v>
      </c>
      <c r="D116" s="30" t="inlineStr">
        <is>
          <t>%</t>
        </is>
      </c>
      <c r="E116" s="31" t="inlineStr">
        <is>
          <t>SYNTHETIC</t>
        </is>
      </c>
      <c r="F116" s="32" t="inlineStr">
        <is>
          <t>Analyst assumption - see 09_Management_Report.pdf for rationale</t>
        </is>
      </c>
      <c r="G116" s="33" t="inlineStr">
        <is>
          <t>Drives donor-count roll-forward in the forecast.</t>
        </is>
      </c>
    </row>
    <row r="117" ht="26" customHeight="1">
      <c r="A117" s="20" t="inlineStr">
        <is>
          <t>6. Revenue composition (modelled)</t>
        </is>
      </c>
      <c r="B117" s="21" t="inlineStr">
        <is>
          <t>Largest single funder, share of revenue</t>
        </is>
      </c>
      <c r="C117" s="42" t="n">
        <v>0.18</v>
      </c>
      <c r="D117" s="23" t="inlineStr">
        <is>
          <t>% of revenue</t>
        </is>
      </c>
      <c r="E117" s="43" t="inlineStr">
        <is>
          <t>SYNTHETIC</t>
        </is>
      </c>
      <c r="F117" s="25" t="inlineStr">
        <is>
          <t>Analyst assumption - see 09_Management_Report.pdf for rationale</t>
        </is>
      </c>
      <c r="G117" s="26" t="inlineStr">
        <is>
          <t>Assumed. A single foundation or government source at 18% of total revenue, and the top five sources at 47%, is typical for an organization whose growth was driven by a small number of large humanitarian-response awards. This is the assumption the funding sensitivity analysis stresses, so it is stated prominently rather than buried.</t>
        </is>
      </c>
    </row>
    <row r="118" ht="26" customHeight="1">
      <c r="A118" s="27" t="inlineStr">
        <is>
          <t>6. Revenue composition (modelled)</t>
        </is>
      </c>
      <c r="B118" s="28" t="inlineStr">
        <is>
          <t>Top five funders, share of revenue</t>
        </is>
      </c>
      <c r="C118" s="44" t="n">
        <v>0.47</v>
      </c>
      <c r="D118" s="30" t="inlineStr">
        <is>
          <t>% of revenue</t>
        </is>
      </c>
      <c r="E118" s="31" t="inlineStr">
        <is>
          <t>SYNTHETIC</t>
        </is>
      </c>
      <c r="F118" s="32" t="inlineStr">
        <is>
          <t>Analyst assumption - see 09_Management_Report.pdf for rationale</t>
        </is>
      </c>
      <c r="G118" s="33" t="inlineStr">
        <is>
          <t>Assumed. A single foundation or government source at 18% of total revenue, and the top five sources at 47%, is typical for an organization whose growth was driven by a small number of large humanitarian-response awards. This is the assumption the funding sensitivity analysis stresses, so it is stated prominently rather than buried.</t>
        </is>
      </c>
    </row>
    <row r="119" ht="26" customHeight="1">
      <c r="A119" s="20" t="inlineStr">
        <is>
          <t>7. Program portfolio (modelled)</t>
        </is>
      </c>
      <c r="B119" s="21" t="inlineStr">
        <is>
          <t>Career Coaching: FY2024 participants</t>
        </is>
      </c>
      <c r="C119" s="47" t="n">
        <v>2050</v>
      </c>
      <c r="D119" s="23" t="inlineStr">
        <is>
          <t>people</t>
        </is>
      </c>
      <c r="E119" s="43" t="inlineStr">
        <is>
          <t>SYNTHETIC</t>
        </is>
      </c>
      <c r="F119" s="25" t="inlineStr">
        <is>
          <t>Analyst assumption - see 09_Management_Report.pdf for rationale</t>
        </is>
      </c>
      <c r="G119" s="26" t="inlineStr">
        <is>
          <t>Sums with the other three programs to the derived FY2024 total of 10,791.</t>
        </is>
      </c>
    </row>
    <row r="120" ht="26" customHeight="1">
      <c r="A120" s="27" t="inlineStr">
        <is>
          <t>7. Program portfolio (modelled)</t>
        </is>
      </c>
      <c r="B120" s="28" t="inlineStr">
        <is>
          <t>Career Coaching: FY2024 successful outcomes</t>
        </is>
      </c>
      <c r="C120" s="45" t="n">
        <v>861</v>
      </c>
      <c r="D120" s="30" t="inlineStr">
        <is>
          <t>people</t>
        </is>
      </c>
      <c r="E120" s="31" t="inlineStr">
        <is>
          <t>SYNTHETIC</t>
        </is>
      </c>
      <c r="F120" s="32" t="inlineStr">
        <is>
          <t>Analyst assumption - see 09_Management_Report.pdf for rationale</t>
        </is>
      </c>
      <c r="G120" s="33" t="inlineStr">
        <is>
          <t>Sums to the derived FY2024 total of 1,494 placements.</t>
        </is>
      </c>
    </row>
    <row r="121" ht="26" customHeight="1">
      <c r="A121" s="20" t="inlineStr">
        <is>
          <t>7. Program portfolio (modelled)</t>
        </is>
      </c>
      <c r="B121" s="21" t="inlineStr">
        <is>
          <t>Career Coaching: FY2024 program cost</t>
        </is>
      </c>
      <c r="C121" s="47" t="n">
        <v>7890000</v>
      </c>
      <c r="D121" s="23" t="inlineStr">
        <is>
          <t>USD</t>
        </is>
      </c>
      <c r="E121" s="43" t="inlineStr">
        <is>
          <t>SYNTHETIC</t>
        </is>
      </c>
      <c r="F121" s="25" t="inlineStr">
        <is>
          <t>Analyst assumption - see 09_Management_Report.pdf for rationale</t>
        </is>
      </c>
      <c r="G121" s="26" t="inlineStr">
        <is>
          <t>Allocated within the modelled FY2024 program expense pool; the four sum to it exactly.</t>
        </is>
      </c>
    </row>
    <row r="122" ht="26" customHeight="1">
      <c r="A122" s="27" t="inlineStr">
        <is>
          <t>7. Program portfolio (modelled)</t>
        </is>
      </c>
      <c r="B122" s="28" t="inlineStr">
        <is>
          <t>Career Coaching: completion rate</t>
        </is>
      </c>
      <c r="C122" s="44" t="n">
        <v>0.71</v>
      </c>
      <c r="D122" s="30" t="inlineStr">
        <is>
          <t>%</t>
        </is>
      </c>
      <c r="E122" s="31" t="inlineStr">
        <is>
          <t>SYNTHETIC</t>
        </is>
      </c>
      <c r="F122" s="32" t="inlineStr">
        <is>
          <t>Analyst assumption - see 09_Management_Report.pdf for rationale</t>
        </is>
      </c>
      <c r="G122" s="33" t="inlineStr">
        <is>
          <t>Share of enrolled participants who complete the program.</t>
        </is>
      </c>
    </row>
    <row r="123" ht="26" customHeight="1">
      <c r="A123" s="20" t="inlineStr">
        <is>
          <t>7. Program portfolio (modelled)</t>
        </is>
      </c>
      <c r="B123" s="21" t="inlineStr">
        <is>
          <t>Career Coaching: average salary gain per outcome</t>
        </is>
      </c>
      <c r="C123" s="47" t="n">
        <v>61000</v>
      </c>
      <c r="D123" s="23" t="inlineStr">
        <is>
          <t>USD</t>
        </is>
      </c>
      <c r="E123" s="43" t="inlineStr">
        <is>
          <t>SYNTHETIC</t>
        </is>
      </c>
      <c r="F123" s="25" t="inlineStr">
        <is>
          <t>Analyst assumption - see 09_Management_Report.pdf for rationale</t>
        </is>
      </c>
      <c r="G123" s="26" t="inlineStr">
        <is>
          <t>The blended average salary gain implied by this program mix is compared in 06_Program_Economics against the $58,790 the organization published for 2025. The mix was tuned so the implied figure lands within about 1% of the published number, which is a weak but real external check on the synthetic layer.</t>
        </is>
      </c>
    </row>
    <row r="124" ht="26" customHeight="1">
      <c r="A124" s="27" t="inlineStr">
        <is>
          <t>7. Program portfolio (modelled)</t>
        </is>
      </c>
      <c r="B124" s="28" t="inlineStr">
        <is>
          <t>Career Coaching: staff hours per participant</t>
        </is>
      </c>
      <c r="C124" s="49" t="n">
        <v>39</v>
      </c>
      <c r="D124" s="30" t="inlineStr">
        <is>
          <t>hours</t>
        </is>
      </c>
      <c r="E124" s="31" t="inlineStr">
        <is>
          <t>SYNTHETIC</t>
        </is>
      </c>
      <c r="F124" s="32" t="inlineStr">
        <is>
          <t>Analyst assumption - see 09_Management_Report.pdf for rationale</t>
        </is>
      </c>
      <c r="G124" s="33" t="inlineStr">
        <is>
          <t>Drives the staff capacity constraint in the allocation model.</t>
        </is>
      </c>
    </row>
    <row r="125" ht="26" customHeight="1">
      <c r="A125" s="20" t="inlineStr">
        <is>
          <t>7. Program portfolio (modelled)</t>
        </is>
      </c>
      <c r="B125" s="21" t="inlineStr">
        <is>
          <t>Career Coaching: direct cost share</t>
        </is>
      </c>
      <c r="C125" s="42" t="n">
        <v>0.72</v>
      </c>
      <c r="D125" s="23" t="inlineStr">
        <is>
          <t>% of program cost</t>
        </is>
      </c>
      <c r="E125" s="43" t="inlineStr">
        <is>
          <t>SYNTHETIC</t>
        </is>
      </c>
      <c r="F125" s="25" t="inlineStr">
        <is>
          <t>Analyst assumption - see 09_Management_Report.pdf for rationale</t>
        </is>
      </c>
      <c r="G125" s="26" t="inlineStr">
        <is>
          <t>Remainder is allocated indirect cost.</t>
        </is>
      </c>
    </row>
    <row r="126" ht="26" customHeight="1">
      <c r="A126" s="27" t="inlineStr">
        <is>
          <t>7. Program portfolio (modelled)</t>
        </is>
      </c>
      <c r="B126" s="28" t="inlineStr">
        <is>
          <t>Career Coaching: maximum servable participants</t>
        </is>
      </c>
      <c r="C126" s="45" t="n">
        <v>3400</v>
      </c>
      <c r="D126" s="30" t="inlineStr">
        <is>
          <t>people</t>
        </is>
      </c>
      <c r="E126" s="31" t="inlineStr">
        <is>
          <t>SYNTHETIC</t>
        </is>
      </c>
      <c r="F126" s="32" t="inlineStr">
        <is>
          <t>Analyst assumption - see 09_Management_Report.pdf for rationale</t>
        </is>
      </c>
      <c r="G126" s="33" t="inlineStr">
        <is>
          <t>Demand and delivery ceiling; binds the allocation model.</t>
        </is>
      </c>
    </row>
    <row r="127" ht="26" customHeight="1">
      <c r="A127" s="20" t="inlineStr">
        <is>
          <t>7. Program portfolio (modelled)</t>
        </is>
      </c>
      <c r="B127" s="21" t="inlineStr">
        <is>
          <t>Career Coaching: minimum viable funding</t>
        </is>
      </c>
      <c r="C127" s="47" t="n">
        <v>4500000</v>
      </c>
      <c r="D127" s="23" t="inlineStr">
        <is>
          <t>USD</t>
        </is>
      </c>
      <c r="E127" s="43" t="inlineStr">
        <is>
          <t>SYNTHETIC</t>
        </is>
      </c>
      <c r="F127" s="25" t="inlineStr">
        <is>
          <t>Analyst assumption - see 09_Management_Report.pdf for rationale</t>
        </is>
      </c>
      <c r="G127" s="26" t="inlineStr">
        <is>
          <t>Below this the program cannot retain its delivery team.</t>
        </is>
      </c>
    </row>
    <row r="128" ht="26" customHeight="1">
      <c r="A128" s="27" t="inlineStr">
        <is>
          <t>7. Program portfolio (modelled)</t>
        </is>
      </c>
      <c r="B128" s="28" t="inlineStr">
        <is>
          <t>Digital Learning: FY2024 participants</t>
        </is>
      </c>
      <c r="C128" s="45" t="n">
        <v>7395</v>
      </c>
      <c r="D128" s="30" t="inlineStr">
        <is>
          <t>people</t>
        </is>
      </c>
      <c r="E128" s="31" t="inlineStr">
        <is>
          <t>SYNTHETIC</t>
        </is>
      </c>
      <c r="F128" s="32" t="inlineStr">
        <is>
          <t>Analyst assumption - see 09_Management_Report.pdf for rationale</t>
        </is>
      </c>
      <c r="G128" s="33" t="inlineStr">
        <is>
          <t>Sums with the other three programs to the derived FY2024 total of 10,791.</t>
        </is>
      </c>
    </row>
    <row r="129" ht="26" customHeight="1">
      <c r="A129" s="20" t="inlineStr">
        <is>
          <t>7. Program portfolio (modelled)</t>
        </is>
      </c>
      <c r="B129" s="21" t="inlineStr">
        <is>
          <t>Digital Learning: FY2024 successful outcomes</t>
        </is>
      </c>
      <c r="C129" s="47" t="n">
        <v>333</v>
      </c>
      <c r="D129" s="23" t="inlineStr">
        <is>
          <t>people</t>
        </is>
      </c>
      <c r="E129" s="43" t="inlineStr">
        <is>
          <t>SYNTHETIC</t>
        </is>
      </c>
      <c r="F129" s="25" t="inlineStr">
        <is>
          <t>Analyst assumption - see 09_Management_Report.pdf for rationale</t>
        </is>
      </c>
      <c r="G129" s="26" t="inlineStr">
        <is>
          <t>Sums to the derived FY2024 total of 1,494 placements.</t>
        </is>
      </c>
    </row>
    <row r="130" ht="26" customHeight="1">
      <c r="A130" s="27" t="inlineStr">
        <is>
          <t>7. Program portfolio (modelled)</t>
        </is>
      </c>
      <c r="B130" s="28" t="inlineStr">
        <is>
          <t>Digital Learning: FY2024 program cost</t>
        </is>
      </c>
      <c r="C130" s="45" t="n">
        <v>2220000</v>
      </c>
      <c r="D130" s="30" t="inlineStr">
        <is>
          <t>USD</t>
        </is>
      </c>
      <c r="E130" s="31" t="inlineStr">
        <is>
          <t>SYNTHETIC</t>
        </is>
      </c>
      <c r="F130" s="32" t="inlineStr">
        <is>
          <t>Analyst assumption - see 09_Management_Report.pdf for rationale</t>
        </is>
      </c>
      <c r="G130" s="33" t="inlineStr">
        <is>
          <t>Allocated within the modelled FY2024 program expense pool; the four sum to it exactly.</t>
        </is>
      </c>
    </row>
    <row r="131" ht="26" customHeight="1">
      <c r="A131" s="20" t="inlineStr">
        <is>
          <t>7. Program portfolio (modelled)</t>
        </is>
      </c>
      <c r="B131" s="21" t="inlineStr">
        <is>
          <t>Digital Learning: completion rate</t>
        </is>
      </c>
      <c r="C131" s="42" t="n">
        <v>0.24</v>
      </c>
      <c r="D131" s="23" t="inlineStr">
        <is>
          <t>%</t>
        </is>
      </c>
      <c r="E131" s="43" t="inlineStr">
        <is>
          <t>SYNTHETIC</t>
        </is>
      </c>
      <c r="F131" s="25" t="inlineStr">
        <is>
          <t>Analyst assumption - see 09_Management_Report.pdf for rationale</t>
        </is>
      </c>
      <c r="G131" s="26" t="inlineStr">
        <is>
          <t>Share of enrolled participants who complete the program.</t>
        </is>
      </c>
    </row>
    <row r="132" ht="26" customHeight="1">
      <c r="A132" s="27" t="inlineStr">
        <is>
          <t>7. Program portfolio (modelled)</t>
        </is>
      </c>
      <c r="B132" s="28" t="inlineStr">
        <is>
          <t>Digital Learning: average salary gain per outcome</t>
        </is>
      </c>
      <c r="C132" s="45" t="n">
        <v>37000</v>
      </c>
      <c r="D132" s="30" t="inlineStr">
        <is>
          <t>USD</t>
        </is>
      </c>
      <c r="E132" s="31" t="inlineStr">
        <is>
          <t>SYNTHETIC</t>
        </is>
      </c>
      <c r="F132" s="32" t="inlineStr">
        <is>
          <t>Analyst assumption - see 09_Management_Report.pdf for rationale</t>
        </is>
      </c>
      <c r="G132" s="33" t="inlineStr">
        <is>
          <t>The blended average salary gain implied by this program mix is compared in 06_Program_Economics against the $58,790 the organization published for 2025. The mix was tuned so the implied figure lands within about 1% of the published number, which is a weak but real external check on the synthetic layer.</t>
        </is>
      </c>
    </row>
    <row r="133" ht="26" customHeight="1">
      <c r="A133" s="20" t="inlineStr">
        <is>
          <t>7. Program portfolio (modelled)</t>
        </is>
      </c>
      <c r="B133" s="21" t="inlineStr">
        <is>
          <t>Digital Learning: staff hours per participant</t>
        </is>
      </c>
      <c r="C133" s="50" t="n">
        <v>2.5</v>
      </c>
      <c r="D133" s="23" t="inlineStr">
        <is>
          <t>hours</t>
        </is>
      </c>
      <c r="E133" s="43" t="inlineStr">
        <is>
          <t>SYNTHETIC</t>
        </is>
      </c>
      <c r="F133" s="25" t="inlineStr">
        <is>
          <t>Analyst assumption - see 09_Management_Report.pdf for rationale</t>
        </is>
      </c>
      <c r="G133" s="26" t="inlineStr">
        <is>
          <t>Drives the staff capacity constraint in the allocation model.</t>
        </is>
      </c>
    </row>
    <row r="134" ht="26" customHeight="1">
      <c r="A134" s="27" t="inlineStr">
        <is>
          <t>7. Program portfolio (modelled)</t>
        </is>
      </c>
      <c r="B134" s="28" t="inlineStr">
        <is>
          <t>Digital Learning: direct cost share</t>
        </is>
      </c>
      <c r="C134" s="44" t="n">
        <v>0.58</v>
      </c>
      <c r="D134" s="30" t="inlineStr">
        <is>
          <t>% of program cost</t>
        </is>
      </c>
      <c r="E134" s="31" t="inlineStr">
        <is>
          <t>SYNTHETIC</t>
        </is>
      </c>
      <c r="F134" s="32" t="inlineStr">
        <is>
          <t>Analyst assumption - see 09_Management_Report.pdf for rationale</t>
        </is>
      </c>
      <c r="G134" s="33" t="inlineStr">
        <is>
          <t>Remainder is allocated indirect cost.</t>
        </is>
      </c>
    </row>
    <row r="135" ht="26" customHeight="1">
      <c r="A135" s="20" t="inlineStr">
        <is>
          <t>7. Program portfolio (modelled)</t>
        </is>
      </c>
      <c r="B135" s="21" t="inlineStr">
        <is>
          <t>Digital Learning: maximum servable participants</t>
        </is>
      </c>
      <c r="C135" s="47" t="n">
        <v>15000</v>
      </c>
      <c r="D135" s="23" t="inlineStr">
        <is>
          <t>people</t>
        </is>
      </c>
      <c r="E135" s="43" t="inlineStr">
        <is>
          <t>SYNTHETIC</t>
        </is>
      </c>
      <c r="F135" s="25" t="inlineStr">
        <is>
          <t>Analyst assumption - see 09_Management_Report.pdf for rationale</t>
        </is>
      </c>
      <c r="G135" s="26" t="inlineStr">
        <is>
          <t>Demand and delivery ceiling; binds the allocation model.</t>
        </is>
      </c>
    </row>
    <row r="136" ht="26" customHeight="1">
      <c r="A136" s="27" t="inlineStr">
        <is>
          <t>7. Program portfolio (modelled)</t>
        </is>
      </c>
      <c r="B136" s="28" t="inlineStr">
        <is>
          <t>Digital Learning: minimum viable funding</t>
        </is>
      </c>
      <c r="C136" s="45" t="n">
        <v>1200000</v>
      </c>
      <c r="D136" s="30" t="inlineStr">
        <is>
          <t>USD</t>
        </is>
      </c>
      <c r="E136" s="31" t="inlineStr">
        <is>
          <t>SYNTHETIC</t>
        </is>
      </c>
      <c r="F136" s="32" t="inlineStr">
        <is>
          <t>Analyst assumption - see 09_Management_Report.pdf for rationale</t>
        </is>
      </c>
      <c r="G136" s="33" t="inlineStr">
        <is>
          <t>Below this the program cannot retain its delivery team.</t>
        </is>
      </c>
    </row>
    <row r="137" ht="26" customHeight="1">
      <c r="A137" s="20" t="inlineStr">
        <is>
          <t>7. Program portfolio (modelled)</t>
        </is>
      </c>
      <c r="B137" s="21" t="inlineStr">
        <is>
          <t>Credential Support: FY2024 participants</t>
        </is>
      </c>
      <c r="C137" s="47" t="n">
        <v>700</v>
      </c>
      <c r="D137" s="23" t="inlineStr">
        <is>
          <t>people</t>
        </is>
      </c>
      <c r="E137" s="43" t="inlineStr">
        <is>
          <t>SYNTHETIC</t>
        </is>
      </c>
      <c r="F137" s="25" t="inlineStr">
        <is>
          <t>Analyst assumption - see 09_Management_Report.pdf for rationale</t>
        </is>
      </c>
      <c r="G137" s="26" t="inlineStr">
        <is>
          <t>Sums with the other three programs to the derived FY2024 total of 10,791.</t>
        </is>
      </c>
    </row>
    <row r="138" ht="26" customHeight="1">
      <c r="A138" s="27" t="inlineStr">
        <is>
          <t>7. Program portfolio (modelled)</t>
        </is>
      </c>
      <c r="B138" s="28" t="inlineStr">
        <is>
          <t>Credential Support: FY2024 successful outcomes</t>
        </is>
      </c>
      <c r="C138" s="45" t="n">
        <v>217</v>
      </c>
      <c r="D138" s="30" t="inlineStr">
        <is>
          <t>people</t>
        </is>
      </c>
      <c r="E138" s="31" t="inlineStr">
        <is>
          <t>SYNTHETIC</t>
        </is>
      </c>
      <c r="F138" s="32" t="inlineStr">
        <is>
          <t>Analyst assumption - see 09_Management_Report.pdf for rationale</t>
        </is>
      </c>
      <c r="G138" s="33" t="inlineStr">
        <is>
          <t>Sums to the derived FY2024 total of 1,494 placements.</t>
        </is>
      </c>
    </row>
    <row r="139" ht="26" customHeight="1">
      <c r="A139" s="20" t="inlineStr">
        <is>
          <t>7. Program portfolio (modelled)</t>
        </is>
      </c>
      <c r="B139" s="21" t="inlineStr">
        <is>
          <t>Credential Support: FY2024 program cost</t>
        </is>
      </c>
      <c r="C139" s="47" t="n">
        <v>2940000</v>
      </c>
      <c r="D139" s="23" t="inlineStr">
        <is>
          <t>USD</t>
        </is>
      </c>
      <c r="E139" s="43" t="inlineStr">
        <is>
          <t>SYNTHETIC</t>
        </is>
      </c>
      <c r="F139" s="25" t="inlineStr">
        <is>
          <t>Analyst assumption - see 09_Management_Report.pdf for rationale</t>
        </is>
      </c>
      <c r="G139" s="26" t="inlineStr">
        <is>
          <t>Allocated within the modelled FY2024 program expense pool; the four sum to it exactly.</t>
        </is>
      </c>
    </row>
    <row r="140" ht="26" customHeight="1">
      <c r="A140" s="27" t="inlineStr">
        <is>
          <t>7. Program portfolio (modelled)</t>
        </is>
      </c>
      <c r="B140" s="28" t="inlineStr">
        <is>
          <t>Credential Support: completion rate</t>
        </is>
      </c>
      <c r="C140" s="44" t="n">
        <v>0.58</v>
      </c>
      <c r="D140" s="30" t="inlineStr">
        <is>
          <t>%</t>
        </is>
      </c>
      <c r="E140" s="31" t="inlineStr">
        <is>
          <t>SYNTHETIC</t>
        </is>
      </c>
      <c r="F140" s="32" t="inlineStr">
        <is>
          <t>Analyst assumption - see 09_Management_Report.pdf for rationale</t>
        </is>
      </c>
      <c r="G140" s="33" t="inlineStr">
        <is>
          <t>Share of enrolled participants who complete the program.</t>
        </is>
      </c>
    </row>
    <row r="141" ht="26" customHeight="1">
      <c r="A141" s="20" t="inlineStr">
        <is>
          <t>7. Program portfolio (modelled)</t>
        </is>
      </c>
      <c r="B141" s="21" t="inlineStr">
        <is>
          <t>Credential Support: average salary gain per outcome</t>
        </is>
      </c>
      <c r="C141" s="47" t="n">
        <v>88000</v>
      </c>
      <c r="D141" s="23" t="inlineStr">
        <is>
          <t>USD</t>
        </is>
      </c>
      <c r="E141" s="43" t="inlineStr">
        <is>
          <t>SYNTHETIC</t>
        </is>
      </c>
      <c r="F141" s="25" t="inlineStr">
        <is>
          <t>Analyst assumption - see 09_Management_Report.pdf for rationale</t>
        </is>
      </c>
      <c r="G141" s="26" t="inlineStr">
        <is>
          <t>The blended average salary gain implied by this program mix is compared in 06_Program_Economics against the $58,790 the organization published for 2025. The mix was tuned so the implied figure lands within about 1% of the published number, which is a weak but real external check on the synthetic layer.</t>
        </is>
      </c>
    </row>
    <row r="142" ht="26" customHeight="1">
      <c r="A142" s="27" t="inlineStr">
        <is>
          <t>7. Program portfolio (modelled)</t>
        </is>
      </c>
      <c r="B142" s="28" t="inlineStr">
        <is>
          <t>Credential Support: staff hours per participant</t>
        </is>
      </c>
      <c r="C142" s="49" t="n">
        <v>60</v>
      </c>
      <c r="D142" s="30" t="inlineStr">
        <is>
          <t>hours</t>
        </is>
      </c>
      <c r="E142" s="31" t="inlineStr">
        <is>
          <t>SYNTHETIC</t>
        </is>
      </c>
      <c r="F142" s="32" t="inlineStr">
        <is>
          <t>Analyst assumption - see 09_Management_Report.pdf for rationale</t>
        </is>
      </c>
      <c r="G142" s="33" t="inlineStr">
        <is>
          <t>Drives the staff capacity constraint in the allocation model.</t>
        </is>
      </c>
    </row>
    <row r="143" ht="26" customHeight="1">
      <c r="A143" s="20" t="inlineStr">
        <is>
          <t>7. Program portfolio (modelled)</t>
        </is>
      </c>
      <c r="B143" s="21" t="inlineStr">
        <is>
          <t>Credential Support: direct cost share</t>
        </is>
      </c>
      <c r="C143" s="42" t="n">
        <v>0.76</v>
      </c>
      <c r="D143" s="23" t="inlineStr">
        <is>
          <t>% of program cost</t>
        </is>
      </c>
      <c r="E143" s="43" t="inlineStr">
        <is>
          <t>SYNTHETIC</t>
        </is>
      </c>
      <c r="F143" s="25" t="inlineStr">
        <is>
          <t>Analyst assumption - see 09_Management_Report.pdf for rationale</t>
        </is>
      </c>
      <c r="G143" s="26" t="inlineStr">
        <is>
          <t>Remainder is allocated indirect cost.</t>
        </is>
      </c>
    </row>
    <row r="144" ht="26" customHeight="1">
      <c r="A144" s="27" t="inlineStr">
        <is>
          <t>7. Program portfolio (modelled)</t>
        </is>
      </c>
      <c r="B144" s="28" t="inlineStr">
        <is>
          <t>Credential Support: maximum servable participants</t>
        </is>
      </c>
      <c r="C144" s="45" t="n">
        <v>1150</v>
      </c>
      <c r="D144" s="30" t="inlineStr">
        <is>
          <t>people</t>
        </is>
      </c>
      <c r="E144" s="31" t="inlineStr">
        <is>
          <t>SYNTHETIC</t>
        </is>
      </c>
      <c r="F144" s="32" t="inlineStr">
        <is>
          <t>Analyst assumption - see 09_Management_Report.pdf for rationale</t>
        </is>
      </c>
      <c r="G144" s="33" t="inlineStr">
        <is>
          <t>Demand and delivery ceiling; binds the allocation model.</t>
        </is>
      </c>
    </row>
    <row r="145" ht="26" customHeight="1">
      <c r="A145" s="20" t="inlineStr">
        <is>
          <t>7. Program portfolio (modelled)</t>
        </is>
      </c>
      <c r="B145" s="21" t="inlineStr">
        <is>
          <t>Credential Support: minimum viable funding</t>
        </is>
      </c>
      <c r="C145" s="47" t="n">
        <v>1800000</v>
      </c>
      <c r="D145" s="23" t="inlineStr">
        <is>
          <t>USD</t>
        </is>
      </c>
      <c r="E145" s="43" t="inlineStr">
        <is>
          <t>SYNTHETIC</t>
        </is>
      </c>
      <c r="F145" s="25" t="inlineStr">
        <is>
          <t>Analyst assumption - see 09_Management_Report.pdf for rationale</t>
        </is>
      </c>
      <c r="G145" s="26" t="inlineStr">
        <is>
          <t>Below this the program cannot retain its delivery team.</t>
        </is>
      </c>
    </row>
    <row r="146" ht="26" customHeight="1">
      <c r="A146" s="27" t="inlineStr">
        <is>
          <t>7. Program portfolio (modelled)</t>
        </is>
      </c>
      <c r="B146" s="28" t="inlineStr">
        <is>
          <t>Partner Capacity: FY2024 participants</t>
        </is>
      </c>
      <c r="C146" s="45" t="n">
        <v>641</v>
      </c>
      <c r="D146" s="30" t="inlineStr">
        <is>
          <t>people</t>
        </is>
      </c>
      <c r="E146" s="31" t="inlineStr">
        <is>
          <t>SYNTHETIC</t>
        </is>
      </c>
      <c r="F146" s="32" t="inlineStr">
        <is>
          <t>Analyst assumption - see 09_Management_Report.pdf for rationale</t>
        </is>
      </c>
      <c r="G146" s="33" t="inlineStr">
        <is>
          <t>Sums with the other three programs to the derived FY2024 total of 10,791.</t>
        </is>
      </c>
    </row>
    <row r="147" ht="26" customHeight="1">
      <c r="A147" s="20" t="inlineStr">
        <is>
          <t>7. Program portfolio (modelled)</t>
        </is>
      </c>
      <c r="B147" s="21" t="inlineStr">
        <is>
          <t>Partner Capacity: FY2024 successful outcomes</t>
        </is>
      </c>
      <c r="C147" s="47" t="n">
        <v>83</v>
      </c>
      <c r="D147" s="23" t="inlineStr">
        <is>
          <t>people</t>
        </is>
      </c>
      <c r="E147" s="43" t="inlineStr">
        <is>
          <t>SYNTHETIC</t>
        </is>
      </c>
      <c r="F147" s="25" t="inlineStr">
        <is>
          <t>Analyst assumption - see 09_Management_Report.pdf for rationale</t>
        </is>
      </c>
      <c r="G147" s="26" t="inlineStr">
        <is>
          <t>Sums to the derived FY2024 total of 1,494 placements.</t>
        </is>
      </c>
    </row>
    <row r="148" ht="26" customHeight="1">
      <c r="A148" s="27" t="inlineStr">
        <is>
          <t>7. Program portfolio (modelled)</t>
        </is>
      </c>
      <c r="B148" s="28" t="inlineStr">
        <is>
          <t>Partner Capacity: FY2024 program cost</t>
        </is>
      </c>
      <c r="C148" s="45" t="n">
        <v>1296382</v>
      </c>
      <c r="D148" s="30" t="inlineStr">
        <is>
          <t>USD</t>
        </is>
      </c>
      <c r="E148" s="31" t="inlineStr">
        <is>
          <t>SYNTHETIC</t>
        </is>
      </c>
      <c r="F148" s="32" t="inlineStr">
        <is>
          <t>Analyst assumption - see 09_Management_Report.pdf for rationale</t>
        </is>
      </c>
      <c r="G148" s="33" t="inlineStr">
        <is>
          <t>Allocated within the modelled FY2024 program expense pool; the four sum to it exactly.</t>
        </is>
      </c>
    </row>
    <row r="149" ht="26" customHeight="1">
      <c r="A149" s="20" t="inlineStr">
        <is>
          <t>7. Program portfolio (modelled)</t>
        </is>
      </c>
      <c r="B149" s="21" t="inlineStr">
        <is>
          <t>Partner Capacity: completion rate</t>
        </is>
      </c>
      <c r="C149" s="42" t="n">
        <v>0.46</v>
      </c>
      <c r="D149" s="23" t="inlineStr">
        <is>
          <t>%</t>
        </is>
      </c>
      <c r="E149" s="43" t="inlineStr">
        <is>
          <t>SYNTHETIC</t>
        </is>
      </c>
      <c r="F149" s="25" t="inlineStr">
        <is>
          <t>Analyst assumption - see 09_Management_Report.pdf for rationale</t>
        </is>
      </c>
      <c r="G149" s="26" t="inlineStr">
        <is>
          <t>Share of enrolled participants who complete the program.</t>
        </is>
      </c>
    </row>
    <row r="150" ht="26" customHeight="1">
      <c r="A150" s="27" t="inlineStr">
        <is>
          <t>7. Program portfolio (modelled)</t>
        </is>
      </c>
      <c r="B150" s="28" t="inlineStr">
        <is>
          <t>Partner Capacity: average salary gain per outcome</t>
        </is>
      </c>
      <c r="C150" s="45" t="n">
        <v>46500</v>
      </c>
      <c r="D150" s="30" t="inlineStr">
        <is>
          <t>USD</t>
        </is>
      </c>
      <c r="E150" s="31" t="inlineStr">
        <is>
          <t>SYNTHETIC</t>
        </is>
      </c>
      <c r="F150" s="32" t="inlineStr">
        <is>
          <t>Analyst assumption - see 09_Management_Report.pdf for rationale</t>
        </is>
      </c>
      <c r="G150" s="33" t="inlineStr">
        <is>
          <t>The blended average salary gain implied by this program mix is compared in 06_Program_Economics against the $58,790 the organization published for 2025. The mix was tuned so the implied figure lands within about 1% of the published number, which is a weak but real external check on the synthetic layer.</t>
        </is>
      </c>
    </row>
    <row r="151" ht="26" customHeight="1">
      <c r="A151" s="20" t="inlineStr">
        <is>
          <t>7. Program portfolio (modelled)</t>
        </is>
      </c>
      <c r="B151" s="21" t="inlineStr">
        <is>
          <t>Partner Capacity: staff hours per participant</t>
        </is>
      </c>
      <c r="C151" s="50" t="n">
        <v>15.58455538221526</v>
      </c>
      <c r="D151" s="23" t="inlineStr">
        <is>
          <t>hours</t>
        </is>
      </c>
      <c r="E151" s="43" t="inlineStr">
        <is>
          <t>SYNTHETIC</t>
        </is>
      </c>
      <c r="F151" s="25" t="inlineStr">
        <is>
          <t>Analyst assumption - see 09_Management_Report.pdf for rationale</t>
        </is>
      </c>
      <c r="G151" s="26" t="inlineStr">
        <is>
          <t>Drives the staff capacity constraint in the allocation model.</t>
        </is>
      </c>
    </row>
    <row r="152" ht="26" customHeight="1">
      <c r="A152" s="27" t="inlineStr">
        <is>
          <t>7. Program portfolio (modelled)</t>
        </is>
      </c>
      <c r="B152" s="28" t="inlineStr">
        <is>
          <t>Partner Capacity: direct cost share</t>
        </is>
      </c>
      <c r="C152" s="44" t="n">
        <v>0.64</v>
      </c>
      <c r="D152" s="30" t="inlineStr">
        <is>
          <t>% of program cost</t>
        </is>
      </c>
      <c r="E152" s="31" t="inlineStr">
        <is>
          <t>SYNTHETIC</t>
        </is>
      </c>
      <c r="F152" s="32" t="inlineStr">
        <is>
          <t>Analyst assumption - see 09_Management_Report.pdf for rationale</t>
        </is>
      </c>
      <c r="G152" s="33" t="inlineStr">
        <is>
          <t>Remainder is allocated indirect cost.</t>
        </is>
      </c>
    </row>
    <row r="153" ht="26" customHeight="1">
      <c r="A153" s="20" t="inlineStr">
        <is>
          <t>7. Program portfolio (modelled)</t>
        </is>
      </c>
      <c r="B153" s="21" t="inlineStr">
        <is>
          <t>Partner Capacity: maximum servable participants</t>
        </is>
      </c>
      <c r="C153" s="47" t="n">
        <v>1500</v>
      </c>
      <c r="D153" s="23" t="inlineStr">
        <is>
          <t>people</t>
        </is>
      </c>
      <c r="E153" s="43" t="inlineStr">
        <is>
          <t>SYNTHETIC</t>
        </is>
      </c>
      <c r="F153" s="25" t="inlineStr">
        <is>
          <t>Analyst assumption - see 09_Management_Report.pdf for rationale</t>
        </is>
      </c>
      <c r="G153" s="26" t="inlineStr">
        <is>
          <t>Demand and delivery ceiling; binds the allocation model.</t>
        </is>
      </c>
    </row>
    <row r="154" ht="26" customHeight="1">
      <c r="A154" s="27" t="inlineStr">
        <is>
          <t>7. Program portfolio (modelled)</t>
        </is>
      </c>
      <c r="B154" s="28" t="inlineStr">
        <is>
          <t>Partner Capacity: minimum viable funding</t>
        </is>
      </c>
      <c r="C154" s="45" t="n">
        <v>700000</v>
      </c>
      <c r="D154" s="30" t="inlineStr">
        <is>
          <t>USD</t>
        </is>
      </c>
      <c r="E154" s="31" t="inlineStr">
        <is>
          <t>SYNTHETIC</t>
        </is>
      </c>
      <c r="F154" s="32" t="inlineStr">
        <is>
          <t>Analyst assumption - see 09_Management_Report.pdf for rationale</t>
        </is>
      </c>
      <c r="G154" s="33" t="inlineStr">
        <is>
          <t>Below this the program cannot retain its delivery team.</t>
        </is>
      </c>
    </row>
    <row r="155" ht="26" customHeight="1">
      <c r="A155" s="20" t="inlineStr">
        <is>
          <t>8. Personnel (modelled)</t>
        </is>
      </c>
      <c r="B155" s="21" t="inlineStr">
        <is>
          <t>FY2024 full-time equivalents</t>
        </is>
      </c>
      <c r="C155" s="47" t="n">
        <v>121</v>
      </c>
      <c r="D155" s="23" t="inlineStr">
        <is>
          <t>FTE</t>
        </is>
      </c>
      <c r="E155" s="43" t="inlineStr">
        <is>
          <t>SYNTHETIC</t>
        </is>
      </c>
      <c r="F155" s="25" t="inlineStr">
        <is>
          <t>Analyst assumption - see 09_Management_Report.pdf for rationale</t>
        </is>
      </c>
      <c r="G155" s="26" t="inlineStr">
        <is>
          <t>FY2024 salaries of $10,260,344 (officer compensation plus other salaries, both public) divided by an assumed 121 FTE gives an average salary of $84,796, which is plausible for a national workforce-development nonprofit with a professional staff. Fully loaded cost applies a 7.82% payroll tax rate derived from the FY2023 filing and an assumed 10% benefits load.</t>
        </is>
      </c>
    </row>
    <row r="156" ht="26" customHeight="1">
      <c r="A156" s="27" t="inlineStr">
        <is>
          <t>8. Personnel (modelled)</t>
        </is>
      </c>
      <c r="B156" s="28" t="inlineStr">
        <is>
          <t>FY2024 average salary</t>
        </is>
      </c>
      <c r="C156" s="35" t="n">
        <v>84796.23140495867</v>
      </c>
      <c r="D156" s="30" t="inlineStr">
        <is>
          <t>USD</t>
        </is>
      </c>
      <c r="E156" s="31" t="inlineStr">
        <is>
          <t>DERIVED</t>
        </is>
      </c>
      <c r="F156" s="32" t="inlineStr">
        <is>
          <t>IRS Form 990 via ProPublica Nonprofit Explorer, EIN 94-3346127 - https://projects.propublica.org/nonprofits/organizations/943346127</t>
        </is>
      </c>
      <c r="G156" s="33" t="inlineStr">
        <is>
          <t>Public salary total divided by assumed FTE.</t>
        </is>
      </c>
    </row>
    <row r="157" ht="26" customHeight="1">
      <c r="A157" s="20" t="inlineStr">
        <is>
          <t>8. Personnel (modelled)</t>
        </is>
      </c>
      <c r="B157" s="21" t="inlineStr">
        <is>
          <t>Payroll tax rate</t>
        </is>
      </c>
      <c r="C157" s="51" t="n">
        <v>0.07820000000000001</v>
      </c>
      <c r="D157" s="23" t="inlineStr">
        <is>
          <t>% of salary</t>
        </is>
      </c>
      <c r="E157" s="37" t="inlineStr">
        <is>
          <t>DERIVED</t>
        </is>
      </c>
      <c r="F157" s="25" t="inlineStr">
        <is>
          <t>IRS Form 990 via ProPublica Nonprofit Explorer, EIN 94-3346127 - https://projects.propublica.org/nonprofits/organizations/943346127</t>
        </is>
      </c>
      <c r="G157" s="26" t="inlineStr">
        <is>
          <t>FY2023 payroll tax divided by FY2023 salaries, both public.</t>
        </is>
      </c>
    </row>
    <row r="158" ht="26" customHeight="1">
      <c r="A158" s="27" t="inlineStr">
        <is>
          <t>8. Personnel (modelled)</t>
        </is>
      </c>
      <c r="B158" s="28" t="inlineStr">
        <is>
          <t>Benefits load</t>
        </is>
      </c>
      <c r="C158" s="44" t="n">
        <v>0.1</v>
      </c>
      <c r="D158" s="30" t="inlineStr">
        <is>
          <t>% of salary</t>
        </is>
      </c>
      <c r="E158" s="31" t="inlineStr">
        <is>
          <t>SYNTHETIC</t>
        </is>
      </c>
      <c r="F158" s="32" t="inlineStr">
        <is>
          <t>Analyst assumption - see 09_Management_Report.pdf for rationale</t>
        </is>
      </c>
      <c r="G158" s="33" t="inlineStr">
        <is>
          <t>Health, retirement and other benefits as a share of salary.</t>
        </is>
      </c>
    </row>
    <row r="159" ht="26" customHeight="1">
      <c r="A159" s="20" t="inlineStr">
        <is>
          <t>8. Personnel (modelled)</t>
        </is>
      </c>
      <c r="B159" s="21" t="inlineStr">
        <is>
          <t>Productive hours per FTE per year</t>
        </is>
      </c>
      <c r="C159" s="47" t="n">
        <v>1680</v>
      </c>
      <c r="D159" s="23" t="inlineStr">
        <is>
          <t>hours</t>
        </is>
      </c>
      <c r="E159" s="43" t="inlineStr">
        <is>
          <t>SYNTHETIC</t>
        </is>
      </c>
      <c r="F159" s="25" t="inlineStr">
        <is>
          <t>Analyst assumption - see 09_Management_Report.pdf for rationale</t>
        </is>
      </c>
      <c r="G159" s="26" t="inlineStr">
        <is>
          <t>2,080 gross hours less leave, training and non-delivery time.</t>
        </is>
      </c>
    </row>
    <row r="160" ht="26" customHeight="1">
      <c r="A160" s="27" t="inlineStr">
        <is>
          <t>8. Personnel (modelled)</t>
        </is>
      </c>
      <c r="B160" s="28" t="inlineStr">
        <is>
          <t>Share of FTE in program delivery</t>
        </is>
      </c>
      <c r="C160" s="44" t="n">
        <v>0.74</v>
      </c>
      <c r="D160" s="30" t="inlineStr">
        <is>
          <t>%</t>
        </is>
      </c>
      <c r="E160" s="31" t="inlineStr">
        <is>
          <t>SYNTHETIC</t>
        </is>
      </c>
      <c r="F160" s="32" t="inlineStr">
        <is>
          <t>Analyst assumption - see 09_Management_Report.pdf for rationale</t>
        </is>
      </c>
      <c r="G160" s="33" t="inlineStr">
        <is>
          <t>Balance sits in administration and fundraising.</t>
        </is>
      </c>
    </row>
    <row r="161" ht="26" customHeight="1">
      <c r="A161" s="20" t="inlineStr">
        <is>
          <t>8. Personnel (modelled)</t>
        </is>
      </c>
      <c r="B161" s="21" t="inlineStr">
        <is>
          <t>Staff hours reconciliation</t>
        </is>
      </c>
      <c r="C161" s="22" t="inlineStr">
        <is>
          <t>Staff hours per participant are set so that total program de...</t>
        </is>
      </c>
      <c r="D161" s="23" t="inlineStr">
        <is>
          <t>text</t>
        </is>
      </c>
      <c r="E161" s="43" t="inlineStr">
        <is>
          <t>SYNTHETIC</t>
        </is>
      </c>
      <c r="F161" s="25" t="inlineStr">
        <is>
          <t>Analyst assumption - see 09_Management_Report.pdf for rationale</t>
        </is>
      </c>
      <c r="G161" s="26" t="inlineStr">
        <is>
          <t>Ties the capacity constraint to the personnel cost line.</t>
        </is>
      </c>
    </row>
    <row r="162" ht="26" customHeight="1">
      <c r="A162" s="27" t="inlineStr">
        <is>
          <t>8b. Cost behaviour (modelled)</t>
        </is>
      </c>
      <c r="B162" s="28" t="inlineStr">
        <is>
          <t>Average gift inflation</t>
        </is>
      </c>
      <c r="C162" s="44" t="n">
        <v>0.02</v>
      </c>
      <c r="D162" s="30" t="inlineStr">
        <is>
          <t>% per year</t>
        </is>
      </c>
      <c r="E162" s="31" t="inlineStr">
        <is>
          <t>SYNTHETIC</t>
        </is>
      </c>
      <c r="F162" s="32" t="inlineStr">
        <is>
          <t>Analyst assumption - see 09_Management_Report.pdf for rationale</t>
        </is>
      </c>
      <c r="G162" s="33" t="inlineStr">
        <is>
          <t>Average gift is assumed to grow 2.0% a year with general giving inflation. The remainder of each category's growth driver is carried by donor count: donor growth = (1 + category growth) / (1 + 2.0%) - 1. This keeps both halves of the revenue driver visible and independently stressable rather than collapsing them into a single percentage.</t>
        </is>
      </c>
    </row>
    <row r="163" ht="26" customHeight="1">
      <c r="A163" s="20" t="inlineStr">
        <is>
          <t>8b. Cost behaviour (modelled)</t>
        </is>
      </c>
      <c r="B163" s="21" t="inlineStr">
        <is>
          <t>Management and general, variable share</t>
        </is>
      </c>
      <c r="C163" s="42" t="n">
        <v>0.35</v>
      </c>
      <c r="D163" s="23" t="inlineStr">
        <is>
          <t>% variable</t>
        </is>
      </c>
      <c r="E163" s="43" t="inlineStr">
        <is>
          <t>SYNTHETIC</t>
        </is>
      </c>
      <c r="F163" s="25" t="inlineStr">
        <is>
          <t>Analyst assumption - see 09_Management_Report.pdf for rationale</t>
        </is>
      </c>
      <c r="G163" s="26" t="inlineStr">
        <is>
          <t>Management and general is modelled as 35% variable with program scale and 65% fixed; fundraising as 50% variable with contribution scale. Both also carry personnel inflation. The consequence is real and worth stating: in the Downside case, support costs do not fall as fast as revenue, so the program expense ratio deteriorates exactly when the organization can least afford the optics of it.</t>
        </is>
      </c>
    </row>
    <row r="164" ht="26" customHeight="1">
      <c r="A164" s="27" t="inlineStr">
        <is>
          <t>8b. Cost behaviour (modelled)</t>
        </is>
      </c>
      <c r="B164" s="28" t="inlineStr">
        <is>
          <t>Fundraising, variable share</t>
        </is>
      </c>
      <c r="C164" s="44" t="n">
        <v>0.5</v>
      </c>
      <c r="D164" s="30" t="inlineStr">
        <is>
          <t>% variable</t>
        </is>
      </c>
      <c r="E164" s="31" t="inlineStr">
        <is>
          <t>SYNTHETIC</t>
        </is>
      </c>
      <c r="F164" s="32" t="inlineStr">
        <is>
          <t>Analyst assumption - see 09_Management_Report.pdf for rationale</t>
        </is>
      </c>
      <c r="G164" s="33" t="inlineStr">
        <is>
          <t>Management and general is modelled as 35% variable with program scale and 65% fixed; fundraising as 50% variable with contribution scale. Both also carry personnel inflation. The consequence is real and worth stating: in the Downside case, support costs do not fall as fast as revenue, so the program expense ratio deteriorates exactly when the organization can least afford the optics of it.</t>
        </is>
      </c>
    </row>
    <row r="165" ht="26" customHeight="1">
      <c r="A165" s="20" t="inlineStr">
        <is>
          <t>8b. Cost behaviour (modelled)</t>
        </is>
      </c>
      <c r="B165" s="21" t="inlineStr">
        <is>
          <t>Marketing and outreach, share of non-personnel spend</t>
        </is>
      </c>
      <c r="C165" s="42" t="n">
        <v>0.185</v>
      </c>
      <c r="D165" s="23" t="inlineStr">
        <is>
          <t>% of non-personnel</t>
        </is>
      </c>
      <c r="E165" s="43" t="inlineStr">
        <is>
          <t>SYNTHETIC</t>
        </is>
      </c>
      <c r="F165" s="25" t="inlineStr">
        <is>
          <t>Analyst assumption - see 09_Management_Report.pdf for rationale</t>
        </is>
      </c>
      <c r="G165" s="26" t="inlineStr">
        <is>
          <t>Used to split the non-personnel expense plug into reportable operating categories.</t>
        </is>
      </c>
    </row>
    <row r="166" ht="26" customHeight="1">
      <c r="A166" s="27" t="inlineStr">
        <is>
          <t>8b. Cost behaviour (modelled)</t>
        </is>
      </c>
      <c r="B166" s="28" t="inlineStr">
        <is>
          <t>Technology and platforms, share of non-personnel spend</t>
        </is>
      </c>
      <c r="C166" s="44" t="n">
        <v>0.235</v>
      </c>
      <c r="D166" s="30" t="inlineStr">
        <is>
          <t>% of non-personnel</t>
        </is>
      </c>
      <c r="E166" s="31" t="inlineStr">
        <is>
          <t>SYNTHETIC</t>
        </is>
      </c>
      <c r="F166" s="32" t="inlineStr">
        <is>
          <t>Analyst assumption - see 09_Management_Report.pdf for rationale</t>
        </is>
      </c>
      <c r="G166" s="33" t="inlineStr">
        <is>
          <t>Used to split the non-personnel expense plug into reportable operating categories.</t>
        </is>
      </c>
    </row>
    <row r="167" ht="26" customHeight="1">
      <c r="A167" s="20" t="inlineStr">
        <is>
          <t>8b. Cost behaviour (modelled)</t>
        </is>
      </c>
      <c r="B167" s="21" t="inlineStr">
        <is>
          <t>Facilities and occupancy, share of non-personnel spend</t>
        </is>
      </c>
      <c r="C167" s="42" t="n">
        <v>0.21</v>
      </c>
      <c r="D167" s="23" t="inlineStr">
        <is>
          <t>% of non-personnel</t>
        </is>
      </c>
      <c r="E167" s="43" t="inlineStr">
        <is>
          <t>SYNTHETIC</t>
        </is>
      </c>
      <c r="F167" s="25" t="inlineStr">
        <is>
          <t>Analyst assumption - see 09_Management_Report.pdf for rationale</t>
        </is>
      </c>
      <c r="G167" s="26" t="inlineStr">
        <is>
          <t>Used to split the non-personnel expense plug into reportable operating categories.</t>
        </is>
      </c>
    </row>
    <row r="168" ht="26" customHeight="1">
      <c r="A168" s="27" t="inlineStr">
        <is>
          <t>8b. Cost behaviour (modelled)</t>
        </is>
      </c>
      <c r="B168" s="28" t="inlineStr">
        <is>
          <t>Travel and convening, share of non-personnel spend</t>
        </is>
      </c>
      <c r="C168" s="44" t="n">
        <v>0.095</v>
      </c>
      <c r="D168" s="30" t="inlineStr">
        <is>
          <t>% of non-personnel</t>
        </is>
      </c>
      <c r="E168" s="31" t="inlineStr">
        <is>
          <t>SYNTHETIC</t>
        </is>
      </c>
      <c r="F168" s="32" t="inlineStr">
        <is>
          <t>Analyst assumption - see 09_Management_Report.pdf for rationale</t>
        </is>
      </c>
      <c r="G168" s="33" t="inlineStr">
        <is>
          <t>Used to split the non-personnel expense plug into reportable operating categories.</t>
        </is>
      </c>
    </row>
    <row r="169" ht="26" customHeight="1">
      <c r="A169" s="20" t="inlineStr">
        <is>
          <t>8b. Cost behaviour (modelled)</t>
        </is>
      </c>
      <c r="B169" s="21" t="inlineStr">
        <is>
          <t>Professional services, share of non-personnel spend</t>
        </is>
      </c>
      <c r="C169" s="42" t="n">
        <v>0.15</v>
      </c>
      <c r="D169" s="23" t="inlineStr">
        <is>
          <t>% of non-personnel</t>
        </is>
      </c>
      <c r="E169" s="43" t="inlineStr">
        <is>
          <t>SYNTHETIC</t>
        </is>
      </c>
      <c r="F169" s="25" t="inlineStr">
        <is>
          <t>Analyst assumption - see 09_Management_Report.pdf for rationale</t>
        </is>
      </c>
      <c r="G169" s="26" t="inlineStr">
        <is>
          <t>Used to split the non-personnel expense plug into reportable operating categories.</t>
        </is>
      </c>
    </row>
    <row r="170" ht="26" customHeight="1">
      <c r="A170" s="27" t="inlineStr">
        <is>
          <t>8b. Cost behaviour (modelled)</t>
        </is>
      </c>
      <c r="B170" s="28" t="inlineStr">
        <is>
          <t>Other operating, share of non-personnel spend</t>
        </is>
      </c>
      <c r="C170" s="44" t="n">
        <v>0.125</v>
      </c>
      <c r="D170" s="30" t="inlineStr">
        <is>
          <t>% of non-personnel</t>
        </is>
      </c>
      <c r="E170" s="31" t="inlineStr">
        <is>
          <t>SYNTHETIC</t>
        </is>
      </c>
      <c r="F170" s="32" t="inlineStr">
        <is>
          <t>Analyst assumption - see 09_Management_Report.pdf for rationale</t>
        </is>
      </c>
      <c r="G170" s="33" t="inlineStr">
        <is>
          <t>Used to split the non-personnel expense plug into reportable operating categories.</t>
        </is>
      </c>
    </row>
    <row r="171" ht="26" customHeight="1">
      <c r="A171" s="20" t="inlineStr">
        <is>
          <t>9. Balance sheet composition (modelled)</t>
        </is>
      </c>
      <c r="B171" s="21" t="inlineStr">
        <is>
          <t>FY2024 Cash and cash equivalents</t>
        </is>
      </c>
      <c r="C171" s="47" t="n">
        <v>16850000</v>
      </c>
      <c r="D171" s="23" t="inlineStr">
        <is>
          <t>USD</t>
        </is>
      </c>
      <c r="E171" s="43" t="inlineStr">
        <is>
          <t>SYNTHETIC</t>
        </is>
      </c>
      <c r="F171" s="25" t="inlineStr">
        <is>
          <t>Analyst assumption - see 09_Management_Report.pdf for rationale</t>
        </is>
      </c>
      <c r="G171" s="26" t="inlineStr">
        <is>
          <t>Sums to the real FY2024 total assets of $42,583,791. The split matters because cash runway is computed two ways - on cash alone and on cash plus short-term investments - and the gap between those two numbers is a live governance question for this organization.</t>
        </is>
      </c>
    </row>
    <row r="172" ht="26" customHeight="1">
      <c r="A172" s="27" t="inlineStr">
        <is>
          <t>9. Balance sheet composition (modelled)</t>
        </is>
      </c>
      <c r="B172" s="28" t="inlineStr">
        <is>
          <t>FY2024 Short-term investments</t>
        </is>
      </c>
      <c r="C172" s="45" t="n">
        <v>19400000</v>
      </c>
      <c r="D172" s="30" t="inlineStr">
        <is>
          <t>USD</t>
        </is>
      </c>
      <c r="E172" s="31" t="inlineStr">
        <is>
          <t>SYNTHETIC</t>
        </is>
      </c>
      <c r="F172" s="32" t="inlineStr">
        <is>
          <t>Analyst assumption - see 09_Management_Report.pdf for rationale</t>
        </is>
      </c>
      <c r="G172" s="33" t="inlineStr">
        <is>
          <t>Sums to the real FY2024 total assets of $42,583,791. The split matters because cash runway is computed two ways - on cash alone and on cash plus short-term investments - and the gap between those two numbers is a live governance question for this organization.</t>
        </is>
      </c>
    </row>
    <row r="173" ht="26" customHeight="1">
      <c r="A173" s="20" t="inlineStr">
        <is>
          <t>9. Balance sheet composition (modelled)</t>
        </is>
      </c>
      <c r="B173" s="21" t="inlineStr">
        <is>
          <t>FY2024 Grants and pledges receivable</t>
        </is>
      </c>
      <c r="C173" s="47" t="n">
        <v>5100000</v>
      </c>
      <c r="D173" s="23" t="inlineStr">
        <is>
          <t>USD</t>
        </is>
      </c>
      <c r="E173" s="43" t="inlineStr">
        <is>
          <t>SYNTHETIC</t>
        </is>
      </c>
      <c r="F173" s="25" t="inlineStr">
        <is>
          <t>Analyst assumption - see 09_Management_Report.pdf for rationale</t>
        </is>
      </c>
      <c r="G173" s="26" t="inlineStr">
        <is>
          <t>Sums to the real FY2024 total assets of $42,583,791. The split matters because cash runway is computed two ways - on cash alone and on cash plus short-term investments - and the gap between those two numbers is a live governance question for this organization.</t>
        </is>
      </c>
    </row>
    <row r="174" ht="26" customHeight="1">
      <c r="A174" s="27" t="inlineStr">
        <is>
          <t>9. Balance sheet composition (modelled)</t>
        </is>
      </c>
      <c r="B174" s="28" t="inlineStr">
        <is>
          <t>FY2024 Property, equipment and other assets</t>
        </is>
      </c>
      <c r="C174" s="45" t="n">
        <v>1233791</v>
      </c>
      <c r="D174" s="30" t="inlineStr">
        <is>
          <t>USD</t>
        </is>
      </c>
      <c r="E174" s="31" t="inlineStr">
        <is>
          <t>SYNTHETIC</t>
        </is>
      </c>
      <c r="F174" s="32" t="inlineStr">
        <is>
          <t>Analyst assumption - see 09_Management_Report.pdf for rationale</t>
        </is>
      </c>
      <c r="G174" s="33" t="inlineStr">
        <is>
          <t>Sums to the real FY2024 total assets of $42,583,791. The split matters because cash runway is computed two ways - on cash alone and on cash plus short-term investments - and the gap between those two numbers is a live governance question for this organization.</t>
        </is>
      </c>
    </row>
    <row r="175" ht="26" customHeight="1">
      <c r="A175" s="20" t="inlineStr">
        <is>
          <t>10. Scenario drivers (modelled)</t>
        </is>
      </c>
      <c r="B175" s="21" t="inlineStr">
        <is>
          <t>Individual donation growth - Downside</t>
        </is>
      </c>
      <c r="C175" s="42" t="n">
        <v>-0.12</v>
      </c>
      <c r="D175" s="23" t="inlineStr">
        <is>
          <t>% per year</t>
        </is>
      </c>
      <c r="E175" s="43" t="inlineStr">
        <is>
          <t>SYNTHETIC</t>
        </is>
      </c>
      <c r="F175" s="25" t="inlineStr">
        <is>
          <t>Analyst assumption - see 09_Management_Report.pdf for rationale</t>
        </is>
      </c>
      <c r="G175" s="26" t="inlineStr">
        <is>
          <t>Emergency appropriations lapse without replacement and a major foundation cycles out. Government funding falls 30% a year and foundation grants 22%. Cost per participant inflation runs at 7% because the fixed cost base does not shrink as fast as volume. This is the case the reserve exists for, and the case the minimum-funding analysis is built around.</t>
        </is>
      </c>
    </row>
    <row r="176" ht="26" customHeight="1">
      <c r="A176" s="27" t="inlineStr">
        <is>
          <t>10. Scenario drivers (modelled)</t>
        </is>
      </c>
      <c r="B176" s="28" t="inlineStr">
        <is>
          <t>Individual donation growth - Base</t>
        </is>
      </c>
      <c r="C176" s="44" t="n">
        <v>0.04</v>
      </c>
      <c r="D176" s="30" t="inlineStr">
        <is>
          <t>% per year</t>
        </is>
      </c>
      <c r="E176" s="31" t="inlineStr">
        <is>
          <t>SYNTHETIC</t>
        </is>
      </c>
      <c r="F176" s="32" t="inlineStr">
        <is>
          <t>Analyst assumption - see 09_Management_Report.pdf for rationale</t>
        </is>
      </c>
      <c r="G176" s="33" t="inlineStr">
        <is>
          <t>Humanitarian-response funding normalizes gradually. Foundation grants decline 6% a year and government funding 10% a year as emergency appropriations lapse, partly offset by growth in individual, corporate and earned revenue. Participants grow 6% a year and cost per participant rises 3.5%. Management holds headcount roughly flat in real terms.</t>
        </is>
      </c>
    </row>
    <row r="177" ht="26" customHeight="1">
      <c r="A177" s="20" t="inlineStr">
        <is>
          <t>10. Scenario drivers (modelled)</t>
        </is>
      </c>
      <c r="B177" s="21" t="inlineStr">
        <is>
          <t>Individual donation growth - Upside</t>
        </is>
      </c>
      <c r="C177" s="42" t="n">
        <v>0.12</v>
      </c>
      <c r="D177" s="23" t="inlineStr">
        <is>
          <t>% per year</t>
        </is>
      </c>
      <c r="E177" s="43" t="inlineStr">
        <is>
          <t>SYNTHETIC</t>
        </is>
      </c>
      <c r="F177" s="25" t="inlineStr">
        <is>
          <t>Analyst assumption - see 09_Management_Report.pdf for rationale</t>
        </is>
      </c>
      <c r="G177" s="26" t="inlineStr">
        <is>
          <t>The organization converts surge-period relationships into durable multi-year commitments. Foundation funding resumes growth at 8% and government funding stabilizes. Corporate partnerships scale with the employer network. Participants grow 16% a year while cost per participant inflation stays at 2% through digital channel mix shift.</t>
        </is>
      </c>
    </row>
    <row r="178" ht="26" customHeight="1">
      <c r="A178" s="27" t="inlineStr">
        <is>
          <t>10. Scenario drivers (modelled)</t>
        </is>
      </c>
      <c r="B178" s="28" t="inlineStr">
        <is>
          <t>Corporate donation growth - Downside</t>
        </is>
      </c>
      <c r="C178" s="44" t="n">
        <v>-0.15</v>
      </c>
      <c r="D178" s="30" t="inlineStr">
        <is>
          <t>% per year</t>
        </is>
      </c>
      <c r="E178" s="31" t="inlineStr">
        <is>
          <t>SYNTHETIC</t>
        </is>
      </c>
      <c r="F178" s="32" t="inlineStr">
        <is>
          <t>Analyst assumption - see 09_Management_Report.pdf for rationale</t>
        </is>
      </c>
      <c r="G178" s="33" t="inlineStr">
        <is>
          <t>Emergency appropriations lapse without replacement and a major foundation cycles out. Government funding falls 30% a year and foundation grants 22%. Cost per participant inflation runs at 7% because the fixed cost base does not shrink as fast as volume. This is the case the reserve exists for, and the case the minimum-funding analysis is built around.</t>
        </is>
      </c>
    </row>
    <row r="179" ht="26" customHeight="1">
      <c r="A179" s="20" t="inlineStr">
        <is>
          <t>10. Scenario drivers (modelled)</t>
        </is>
      </c>
      <c r="B179" s="21" t="inlineStr">
        <is>
          <t>Corporate donation growth - Base</t>
        </is>
      </c>
      <c r="C179" s="42" t="n">
        <v>0.03</v>
      </c>
      <c r="D179" s="23" t="inlineStr">
        <is>
          <t>% per year</t>
        </is>
      </c>
      <c r="E179" s="43" t="inlineStr">
        <is>
          <t>SYNTHETIC</t>
        </is>
      </c>
      <c r="F179" s="25" t="inlineStr">
        <is>
          <t>Analyst assumption - see 09_Management_Report.pdf for rationale</t>
        </is>
      </c>
      <c r="G179" s="26" t="inlineStr">
        <is>
          <t>Humanitarian-response funding normalizes gradually. Foundation grants decline 6% a year and government funding 10% a year as emergency appropriations lapse, partly offset by growth in individual, corporate and earned revenue. Participants grow 6% a year and cost per participant rises 3.5%. Management holds headcount roughly flat in real terms.</t>
        </is>
      </c>
    </row>
    <row r="180" ht="26" customHeight="1">
      <c r="A180" s="27" t="inlineStr">
        <is>
          <t>10. Scenario drivers (modelled)</t>
        </is>
      </c>
      <c r="B180" s="28" t="inlineStr">
        <is>
          <t>Corporate donation growth - Upside</t>
        </is>
      </c>
      <c r="C180" s="44" t="n">
        <v>0.14</v>
      </c>
      <c r="D180" s="30" t="inlineStr">
        <is>
          <t>% per year</t>
        </is>
      </c>
      <c r="E180" s="31" t="inlineStr">
        <is>
          <t>SYNTHETIC</t>
        </is>
      </c>
      <c r="F180" s="32" t="inlineStr">
        <is>
          <t>Analyst assumption - see 09_Management_Report.pdf for rationale</t>
        </is>
      </c>
      <c r="G180" s="33" t="inlineStr">
        <is>
          <t>The organization converts surge-period relationships into durable multi-year commitments. Foundation funding resumes growth at 8% and government funding stabilizes. Corporate partnerships scale with the employer network. Participants grow 16% a year while cost per participant inflation stays at 2% through digital channel mix shift.</t>
        </is>
      </c>
    </row>
    <row r="181" ht="26" customHeight="1">
      <c r="A181" s="20" t="inlineStr">
        <is>
          <t>10. Scenario drivers (modelled)</t>
        </is>
      </c>
      <c r="B181" s="21" t="inlineStr">
        <is>
          <t>Foundation grant growth - Downside</t>
        </is>
      </c>
      <c r="C181" s="42" t="n">
        <v>-0.22</v>
      </c>
      <c r="D181" s="23" t="inlineStr">
        <is>
          <t>% per year</t>
        </is>
      </c>
      <c r="E181" s="43" t="inlineStr">
        <is>
          <t>SYNTHETIC</t>
        </is>
      </c>
      <c r="F181" s="25" t="inlineStr">
        <is>
          <t>Analyst assumption - see 09_Management_Report.pdf for rationale</t>
        </is>
      </c>
      <c r="G181" s="26" t="inlineStr">
        <is>
          <t>Emergency appropriations lapse without replacement and a major foundation cycles out. Government funding falls 30% a year and foundation grants 22%. Cost per participant inflation runs at 7% because the fixed cost base does not shrink as fast as volume. This is the case the reserve exists for, and the case the minimum-funding analysis is built around.</t>
        </is>
      </c>
    </row>
    <row r="182" ht="26" customHeight="1">
      <c r="A182" s="27" t="inlineStr">
        <is>
          <t>10. Scenario drivers (modelled)</t>
        </is>
      </c>
      <c r="B182" s="28" t="inlineStr">
        <is>
          <t>Foundation grant growth - Base</t>
        </is>
      </c>
      <c r="C182" s="44" t="n">
        <v>-0.06</v>
      </c>
      <c r="D182" s="30" t="inlineStr">
        <is>
          <t>% per year</t>
        </is>
      </c>
      <c r="E182" s="31" t="inlineStr">
        <is>
          <t>SYNTHETIC</t>
        </is>
      </c>
      <c r="F182" s="32" t="inlineStr">
        <is>
          <t>Analyst assumption - see 09_Management_Report.pdf for rationale</t>
        </is>
      </c>
      <c r="G182" s="33" t="inlineStr">
        <is>
          <t>Humanitarian-response funding normalizes gradually. Foundation grants decline 6% a year and government funding 10% a year as emergency appropriations lapse, partly offset by growth in individual, corporate and earned revenue. Participants grow 6% a year and cost per participant rises 3.5%. Management holds headcount roughly flat in real terms.</t>
        </is>
      </c>
    </row>
    <row r="183" ht="26" customHeight="1">
      <c r="A183" s="20" t="inlineStr">
        <is>
          <t>10. Scenario drivers (modelled)</t>
        </is>
      </c>
      <c r="B183" s="21" t="inlineStr">
        <is>
          <t>Foundation grant growth - Upside</t>
        </is>
      </c>
      <c r="C183" s="42" t="n">
        <v>0.08</v>
      </c>
      <c r="D183" s="23" t="inlineStr">
        <is>
          <t>% per year</t>
        </is>
      </c>
      <c r="E183" s="43" t="inlineStr">
        <is>
          <t>SYNTHETIC</t>
        </is>
      </c>
      <c r="F183" s="25" t="inlineStr">
        <is>
          <t>Analyst assumption - see 09_Management_Report.pdf for rationale</t>
        </is>
      </c>
      <c r="G183" s="26" t="inlineStr">
        <is>
          <t>The organization converts surge-period relationships into durable multi-year commitments. Foundation funding resumes growth at 8% and government funding stabilizes. Corporate partnerships scale with the employer network. Participants grow 16% a year while cost per participant inflation stays at 2% through digital channel mix shift.</t>
        </is>
      </c>
    </row>
    <row r="184" ht="26" customHeight="1">
      <c r="A184" s="27" t="inlineStr">
        <is>
          <t>10. Scenario drivers (modelled)</t>
        </is>
      </c>
      <c r="B184" s="28" t="inlineStr">
        <is>
          <t>Government funding growth - Downside</t>
        </is>
      </c>
      <c r="C184" s="44" t="n">
        <v>-0.3</v>
      </c>
      <c r="D184" s="30" t="inlineStr">
        <is>
          <t>% per year</t>
        </is>
      </c>
      <c r="E184" s="31" t="inlineStr">
        <is>
          <t>SYNTHETIC</t>
        </is>
      </c>
      <c r="F184" s="32" t="inlineStr">
        <is>
          <t>Analyst assumption - see 09_Management_Report.pdf for rationale</t>
        </is>
      </c>
      <c r="G184" s="33" t="inlineStr">
        <is>
          <t>Emergency appropriations lapse without replacement and a major foundation cycles out. Government funding falls 30% a year and foundation grants 22%. Cost per participant inflation runs at 7% because the fixed cost base does not shrink as fast as volume. This is the case the reserve exists for, and the case the minimum-funding analysis is built around.</t>
        </is>
      </c>
    </row>
    <row r="185" ht="26" customHeight="1">
      <c r="A185" s="20" t="inlineStr">
        <is>
          <t>10. Scenario drivers (modelled)</t>
        </is>
      </c>
      <c r="B185" s="21" t="inlineStr">
        <is>
          <t>Government funding growth - Base</t>
        </is>
      </c>
      <c r="C185" s="42" t="n">
        <v>-0.1</v>
      </c>
      <c r="D185" s="23" t="inlineStr">
        <is>
          <t>% per year</t>
        </is>
      </c>
      <c r="E185" s="43" t="inlineStr">
        <is>
          <t>SYNTHETIC</t>
        </is>
      </c>
      <c r="F185" s="25" t="inlineStr">
        <is>
          <t>Analyst assumption - see 09_Management_Report.pdf for rationale</t>
        </is>
      </c>
      <c r="G185" s="26" t="inlineStr">
        <is>
          <t>Humanitarian-response funding normalizes gradually. Foundation grants decline 6% a year and government funding 10% a year as emergency appropriations lapse, partly offset by growth in individual, corporate and earned revenue. Participants grow 6% a year and cost per participant rises 3.5%. Management holds headcount roughly flat in real terms.</t>
        </is>
      </c>
    </row>
    <row r="186" ht="26" customHeight="1">
      <c r="A186" s="27" t="inlineStr">
        <is>
          <t>10. Scenario drivers (modelled)</t>
        </is>
      </c>
      <c r="B186" s="28" t="inlineStr">
        <is>
          <t>Government funding growth - Upside</t>
        </is>
      </c>
      <c r="C186" s="44" t="n">
        <v>0.05</v>
      </c>
      <c r="D186" s="30" t="inlineStr">
        <is>
          <t>% per year</t>
        </is>
      </c>
      <c r="E186" s="31" t="inlineStr">
        <is>
          <t>SYNTHETIC</t>
        </is>
      </c>
      <c r="F186" s="32" t="inlineStr">
        <is>
          <t>Analyst assumption - see 09_Management_Report.pdf for rationale</t>
        </is>
      </c>
      <c r="G186" s="33" t="inlineStr">
        <is>
          <t>The organization converts surge-period relationships into durable multi-year commitments. Foundation funding resumes growth at 8% and government funding stabilizes. Corporate partnerships scale with the employer network. Participants grow 16% a year while cost per participant inflation stays at 2% through digital channel mix shift.</t>
        </is>
      </c>
    </row>
    <row r="187" ht="26" customHeight="1">
      <c r="A187" s="20" t="inlineStr">
        <is>
          <t>10. Scenario drivers (modelled)</t>
        </is>
      </c>
      <c r="B187" s="21" t="inlineStr">
        <is>
          <t>Fundraising event growth - Downside</t>
        </is>
      </c>
      <c r="C187" s="42" t="n">
        <v>-0.1</v>
      </c>
      <c r="D187" s="23" t="inlineStr">
        <is>
          <t>% per year</t>
        </is>
      </c>
      <c r="E187" s="43" t="inlineStr">
        <is>
          <t>SYNTHETIC</t>
        </is>
      </c>
      <c r="F187" s="25" t="inlineStr">
        <is>
          <t>Analyst assumption - see 09_Management_Report.pdf for rationale</t>
        </is>
      </c>
      <c r="G187" s="26" t="inlineStr">
        <is>
          <t>Emergency appropriations lapse without replacement and a major foundation cycles out. Government funding falls 30% a year and foundation grants 22%. Cost per participant inflation runs at 7% because the fixed cost base does not shrink as fast as volume. This is the case the reserve exists for, and the case the minimum-funding analysis is built around.</t>
        </is>
      </c>
    </row>
    <row r="188" ht="26" customHeight="1">
      <c r="A188" s="27" t="inlineStr">
        <is>
          <t>10. Scenario drivers (modelled)</t>
        </is>
      </c>
      <c r="B188" s="28" t="inlineStr">
        <is>
          <t>Fundraising event growth - Base</t>
        </is>
      </c>
      <c r="C188" s="44" t="n">
        <v>0.02</v>
      </c>
      <c r="D188" s="30" t="inlineStr">
        <is>
          <t>% per year</t>
        </is>
      </c>
      <c r="E188" s="31" t="inlineStr">
        <is>
          <t>SYNTHETIC</t>
        </is>
      </c>
      <c r="F188" s="32" t="inlineStr">
        <is>
          <t>Analyst assumption - see 09_Management_Report.pdf for rationale</t>
        </is>
      </c>
      <c r="G188" s="33" t="inlineStr">
        <is>
          <t>Humanitarian-response funding normalizes gradually. Foundation grants decline 6% a year and government funding 10% a year as emergency appropriations lapse, partly offset by growth in individual, corporate and earned revenue. Participants grow 6% a year and cost per participant rises 3.5%. Management holds headcount roughly flat in real terms.</t>
        </is>
      </c>
    </row>
    <row r="189" ht="26" customHeight="1">
      <c r="A189" s="20" t="inlineStr">
        <is>
          <t>10. Scenario drivers (modelled)</t>
        </is>
      </c>
      <c r="B189" s="21" t="inlineStr">
        <is>
          <t>Fundraising event growth - Upside</t>
        </is>
      </c>
      <c r="C189" s="42" t="n">
        <v>0.09</v>
      </c>
      <c r="D189" s="23" t="inlineStr">
        <is>
          <t>% per year</t>
        </is>
      </c>
      <c r="E189" s="43" t="inlineStr">
        <is>
          <t>SYNTHETIC</t>
        </is>
      </c>
      <c r="F189" s="25" t="inlineStr">
        <is>
          <t>Analyst assumption - see 09_Management_Report.pdf for rationale</t>
        </is>
      </c>
      <c r="G189" s="26" t="inlineStr">
        <is>
          <t>The organization converts surge-period relationships into durable multi-year commitments. Foundation funding resumes growth at 8% and government funding stabilizes. Corporate partnerships scale with the employer network. Participants grow 16% a year while cost per participant inflation stays at 2% through digital channel mix shift.</t>
        </is>
      </c>
    </row>
    <row r="190" ht="26" customHeight="1">
      <c r="A190" s="27" t="inlineStr">
        <is>
          <t>10. Scenario drivers (modelled)</t>
        </is>
      </c>
      <c r="B190" s="28" t="inlineStr">
        <is>
          <t>Program service revenue growth - Downside</t>
        </is>
      </c>
      <c r="C190" s="44" t="n">
        <v>-0.05</v>
      </c>
      <c r="D190" s="30" t="inlineStr">
        <is>
          <t>% per year</t>
        </is>
      </c>
      <c r="E190" s="31" t="inlineStr">
        <is>
          <t>SYNTHETIC</t>
        </is>
      </c>
      <c r="F190" s="32" t="inlineStr">
        <is>
          <t>Analyst assumption - see 09_Management_Report.pdf for rationale</t>
        </is>
      </c>
      <c r="G190" s="33" t="inlineStr">
        <is>
          <t>Emergency appropriations lapse without replacement and a major foundation cycles out. Government funding falls 30% a year and foundation grants 22%. Cost per participant inflation runs at 7% because the fixed cost base does not shrink as fast as volume. This is the case the reserve exists for, and the case the minimum-funding analysis is built around.</t>
        </is>
      </c>
    </row>
    <row r="191" ht="26" customHeight="1">
      <c r="A191" s="20" t="inlineStr">
        <is>
          <t>10. Scenario drivers (modelled)</t>
        </is>
      </c>
      <c r="B191" s="21" t="inlineStr">
        <is>
          <t>Program service revenue growth - Base</t>
        </is>
      </c>
      <c r="C191" s="42" t="n">
        <v>0.08</v>
      </c>
      <c r="D191" s="23" t="inlineStr">
        <is>
          <t>% per year</t>
        </is>
      </c>
      <c r="E191" s="43" t="inlineStr">
        <is>
          <t>SYNTHETIC</t>
        </is>
      </c>
      <c r="F191" s="25" t="inlineStr">
        <is>
          <t>Analyst assumption - see 09_Management_Report.pdf for rationale</t>
        </is>
      </c>
      <c r="G191" s="26" t="inlineStr">
        <is>
          <t>Humanitarian-response funding normalizes gradually. Foundation grants decline 6% a year and government funding 10% a year as emergency appropriations lapse, partly offset by growth in individual, corporate and earned revenue. Participants grow 6% a year and cost per participant rises 3.5%. Management holds headcount roughly flat in real terms.</t>
        </is>
      </c>
    </row>
    <row r="192" ht="26" customHeight="1">
      <c r="A192" s="27" t="inlineStr">
        <is>
          <t>10. Scenario drivers (modelled)</t>
        </is>
      </c>
      <c r="B192" s="28" t="inlineStr">
        <is>
          <t>Program service revenue growth - Upside</t>
        </is>
      </c>
      <c r="C192" s="44" t="n">
        <v>0.18</v>
      </c>
      <c r="D192" s="30" t="inlineStr">
        <is>
          <t>% per year</t>
        </is>
      </c>
      <c r="E192" s="31" t="inlineStr">
        <is>
          <t>SYNTHETIC</t>
        </is>
      </c>
      <c r="F192" s="32" t="inlineStr">
        <is>
          <t>Analyst assumption - see 09_Management_Report.pdf for rationale</t>
        </is>
      </c>
      <c r="G192" s="33" t="inlineStr">
        <is>
          <t>The organization converts surge-period relationships into durable multi-year commitments. Foundation funding resumes growth at 8% and government funding stabilizes. Corporate partnerships scale with the employer network. Participants grow 16% a year while cost per participant inflation stays at 2% through digital channel mix shift.</t>
        </is>
      </c>
    </row>
    <row r="193" ht="26" customHeight="1">
      <c r="A193" s="20" t="inlineStr">
        <is>
          <t>10. Scenario drivers (modelled)</t>
        </is>
      </c>
      <c r="B193" s="21" t="inlineStr">
        <is>
          <t>Cost per participant inflation - Downside</t>
        </is>
      </c>
      <c r="C193" s="42" t="n">
        <v>0.07000000000000001</v>
      </c>
      <c r="D193" s="23" t="inlineStr">
        <is>
          <t>% per year</t>
        </is>
      </c>
      <c r="E193" s="43" t="inlineStr">
        <is>
          <t>SYNTHETIC</t>
        </is>
      </c>
      <c r="F193" s="25" t="inlineStr">
        <is>
          <t>Analyst assumption - see 09_Management_Report.pdf for rationale</t>
        </is>
      </c>
      <c r="G193" s="26" t="inlineStr">
        <is>
          <t>Emergency appropriations lapse without replacement and a major foundation cycles out. Government funding falls 30% a year and foundation grants 22%. Cost per participant inflation runs at 7% because the fixed cost base does not shrink as fast as volume. This is the case the reserve exists for, and the case the minimum-funding analysis is built around.</t>
        </is>
      </c>
    </row>
    <row r="194" ht="26" customHeight="1">
      <c r="A194" s="27" t="inlineStr">
        <is>
          <t>10. Scenario drivers (modelled)</t>
        </is>
      </c>
      <c r="B194" s="28" t="inlineStr">
        <is>
          <t>Cost per participant inflation - Base</t>
        </is>
      </c>
      <c r="C194" s="44" t="n">
        <v>0.035</v>
      </c>
      <c r="D194" s="30" t="inlineStr">
        <is>
          <t>% per year</t>
        </is>
      </c>
      <c r="E194" s="31" t="inlineStr">
        <is>
          <t>SYNTHETIC</t>
        </is>
      </c>
      <c r="F194" s="32" t="inlineStr">
        <is>
          <t>Analyst assumption - see 09_Management_Report.pdf for rationale</t>
        </is>
      </c>
      <c r="G194" s="33" t="inlineStr">
        <is>
          <t>Humanitarian-response funding normalizes gradually. Foundation grants decline 6% a year and government funding 10% a year as emergency appropriations lapse, partly offset by growth in individual, corporate and earned revenue. Participants grow 6% a year and cost per participant rises 3.5%. Management holds headcount roughly flat in real terms.</t>
        </is>
      </c>
    </row>
    <row r="195" ht="26" customHeight="1">
      <c r="A195" s="20" t="inlineStr">
        <is>
          <t>10. Scenario drivers (modelled)</t>
        </is>
      </c>
      <c r="B195" s="21" t="inlineStr">
        <is>
          <t>Cost per participant inflation - Upside</t>
        </is>
      </c>
      <c r="C195" s="42" t="n">
        <v>0.02</v>
      </c>
      <c r="D195" s="23" t="inlineStr">
        <is>
          <t>% per year</t>
        </is>
      </c>
      <c r="E195" s="43" t="inlineStr">
        <is>
          <t>SYNTHETIC</t>
        </is>
      </c>
      <c r="F195" s="25" t="inlineStr">
        <is>
          <t>Analyst assumption - see 09_Management_Report.pdf for rationale</t>
        </is>
      </c>
      <c r="G195" s="26" t="inlineStr">
        <is>
          <t>The organization converts surge-period relationships into durable multi-year commitments. Foundation funding resumes growth at 8% and government funding stabilizes. Corporate partnerships scale with the employer network. Participants grow 16% a year while cost per participant inflation stays at 2% through digital channel mix shift.</t>
        </is>
      </c>
    </row>
    <row r="196" ht="26" customHeight="1">
      <c r="A196" s="27" t="inlineStr">
        <is>
          <t>10. Scenario drivers (modelled)</t>
        </is>
      </c>
      <c r="B196" s="28" t="inlineStr">
        <is>
          <t>Personnel cost inflation - Downside</t>
        </is>
      </c>
      <c r="C196" s="44" t="n">
        <v>0.05</v>
      </c>
      <c r="D196" s="30" t="inlineStr">
        <is>
          <t>% per year</t>
        </is>
      </c>
      <c r="E196" s="31" t="inlineStr">
        <is>
          <t>SYNTHETIC</t>
        </is>
      </c>
      <c r="F196" s="32" t="inlineStr">
        <is>
          <t>Analyst assumption - see 09_Management_Report.pdf for rationale</t>
        </is>
      </c>
      <c r="G196" s="33" t="inlineStr">
        <is>
          <t>Emergency appropriations lapse without replacement and a major foundation cycles out. Government funding falls 30% a year and foundation grants 22%. Cost per participant inflation runs at 7% because the fixed cost base does not shrink as fast as volume. This is the case the reserve exists for, and the case the minimum-funding analysis is built around.</t>
        </is>
      </c>
    </row>
    <row r="197" ht="26" customHeight="1">
      <c r="A197" s="20" t="inlineStr">
        <is>
          <t>10. Scenario drivers (modelled)</t>
        </is>
      </c>
      <c r="B197" s="21" t="inlineStr">
        <is>
          <t>Personnel cost inflation - Base</t>
        </is>
      </c>
      <c r="C197" s="42" t="n">
        <v>0.04</v>
      </c>
      <c r="D197" s="23" t="inlineStr">
        <is>
          <t>% per year</t>
        </is>
      </c>
      <c r="E197" s="43" t="inlineStr">
        <is>
          <t>SYNTHETIC</t>
        </is>
      </c>
      <c r="F197" s="25" t="inlineStr">
        <is>
          <t>Analyst assumption - see 09_Management_Report.pdf for rationale</t>
        </is>
      </c>
      <c r="G197" s="26" t="inlineStr">
        <is>
          <t>Humanitarian-response funding normalizes gradually. Foundation grants decline 6% a year and government funding 10% a year as emergency appropriations lapse, partly offset by growth in individual, corporate and earned revenue. Participants grow 6% a year and cost per participant rises 3.5%. Management holds headcount roughly flat in real terms.</t>
        </is>
      </c>
    </row>
    <row r="198" ht="26" customHeight="1">
      <c r="A198" s="27" t="inlineStr">
        <is>
          <t>10. Scenario drivers (modelled)</t>
        </is>
      </c>
      <c r="B198" s="28" t="inlineStr">
        <is>
          <t>Personnel cost inflation - Upside</t>
        </is>
      </c>
      <c r="C198" s="44" t="n">
        <v>0.035</v>
      </c>
      <c r="D198" s="30" t="inlineStr">
        <is>
          <t>% per year</t>
        </is>
      </c>
      <c r="E198" s="31" t="inlineStr">
        <is>
          <t>SYNTHETIC</t>
        </is>
      </c>
      <c r="F198" s="32" t="inlineStr">
        <is>
          <t>Analyst assumption - see 09_Management_Report.pdf for rationale</t>
        </is>
      </c>
      <c r="G198" s="33" t="inlineStr">
        <is>
          <t>The organization converts surge-period relationships into durable multi-year commitments. Foundation funding resumes growth at 8% and government funding stabilizes. Corporate partnerships scale with the employer network. Participants grow 16% a year while cost per participant inflation stays at 2% through digital channel mix shift.</t>
        </is>
      </c>
    </row>
    <row r="199" ht="26" customHeight="1">
      <c r="A199" s="20" t="inlineStr">
        <is>
          <t>10. Scenario drivers (modelled)</t>
        </is>
      </c>
      <c r="B199" s="21" t="inlineStr">
        <is>
          <t>Participant growth - Downside</t>
        </is>
      </c>
      <c r="C199" s="42" t="n">
        <v>-0.08</v>
      </c>
      <c r="D199" s="23" t="inlineStr">
        <is>
          <t>% per year</t>
        </is>
      </c>
      <c r="E199" s="43" t="inlineStr">
        <is>
          <t>SYNTHETIC</t>
        </is>
      </c>
      <c r="F199" s="25" t="inlineStr">
        <is>
          <t>Analyst assumption - see 09_Management_Report.pdf for rationale</t>
        </is>
      </c>
      <c r="G199" s="26" t="inlineStr">
        <is>
          <t>Emergency appropriations lapse without replacement and a major foundation cycles out. Government funding falls 30% a year and foundation grants 22%. Cost per participant inflation runs at 7% because the fixed cost base does not shrink as fast as volume. This is the case the reserve exists for, and the case the minimum-funding analysis is built around.</t>
        </is>
      </c>
    </row>
    <row r="200" ht="26" customHeight="1">
      <c r="A200" s="27" t="inlineStr">
        <is>
          <t>10. Scenario drivers (modelled)</t>
        </is>
      </c>
      <c r="B200" s="28" t="inlineStr">
        <is>
          <t>Participant growth - Base</t>
        </is>
      </c>
      <c r="C200" s="44" t="n">
        <v>0.06</v>
      </c>
      <c r="D200" s="30" t="inlineStr">
        <is>
          <t>% per year</t>
        </is>
      </c>
      <c r="E200" s="31" t="inlineStr">
        <is>
          <t>SYNTHETIC</t>
        </is>
      </c>
      <c r="F200" s="32" t="inlineStr">
        <is>
          <t>Analyst assumption - see 09_Management_Report.pdf for rationale</t>
        </is>
      </c>
      <c r="G200" s="33" t="inlineStr">
        <is>
          <t>Humanitarian-response funding normalizes gradually. Foundation grants decline 6% a year and government funding 10% a year as emergency appropriations lapse, partly offset by growth in individual, corporate and earned revenue. Participants grow 6% a year and cost per participant rises 3.5%. Management holds headcount roughly flat in real terms.</t>
        </is>
      </c>
    </row>
    <row r="201" ht="26" customHeight="1">
      <c r="A201" s="20" t="inlineStr">
        <is>
          <t>10. Scenario drivers (modelled)</t>
        </is>
      </c>
      <c r="B201" s="21" t="inlineStr">
        <is>
          <t>Participant growth - Upside</t>
        </is>
      </c>
      <c r="C201" s="42" t="n">
        <v>0.16</v>
      </c>
      <c r="D201" s="23" t="inlineStr">
        <is>
          <t>% per year</t>
        </is>
      </c>
      <c r="E201" s="43" t="inlineStr">
        <is>
          <t>SYNTHETIC</t>
        </is>
      </c>
      <c r="F201" s="25" t="inlineStr">
        <is>
          <t>Analyst assumption - see 09_Management_Report.pdf for rationale</t>
        </is>
      </c>
      <c r="G201" s="26" t="inlineStr">
        <is>
          <t>The organization converts surge-period relationships into durable multi-year commitments. Foundation funding resumes growth at 8% and government funding stabilizes. Corporate partnerships scale with the employer network. Participants grow 16% a year while cost per participant inflation stays at 2% through digital channel mix shift.</t>
        </is>
      </c>
    </row>
    <row r="202" ht="26" customHeight="1">
      <c r="A202" s="27" t="inlineStr">
        <is>
          <t>10. Scenario drivers (modelled)</t>
        </is>
      </c>
      <c r="B202" s="28" t="inlineStr">
        <is>
          <t>Return on investment balance - Downside</t>
        </is>
      </c>
      <c r="C202" s="44" t="n">
        <v>0.018</v>
      </c>
      <c r="D202" s="30" t="inlineStr">
        <is>
          <t>% per year</t>
        </is>
      </c>
      <c r="E202" s="31" t="inlineStr">
        <is>
          <t>SYNTHETIC</t>
        </is>
      </c>
      <c r="F202" s="32" t="inlineStr">
        <is>
          <t>Analyst assumption - see 09_Management_Report.pdf for rationale</t>
        </is>
      </c>
      <c r="G202" s="33" t="inlineStr">
        <is>
          <t>Emergency appropriations lapse without replacement and a major foundation cycles out. Government funding falls 30% a year and foundation grants 22%. Cost per participant inflation runs at 7% because the fixed cost base does not shrink as fast as volume. This is the case the reserve exists for, and the case the minimum-funding analysis is built around.</t>
        </is>
      </c>
    </row>
    <row r="203" ht="26" customHeight="1">
      <c r="A203" s="20" t="inlineStr">
        <is>
          <t>10. Scenario drivers (modelled)</t>
        </is>
      </c>
      <c r="B203" s="21" t="inlineStr">
        <is>
          <t>Return on investment balance - Base</t>
        </is>
      </c>
      <c r="C203" s="42" t="n">
        <v>0.038</v>
      </c>
      <c r="D203" s="23" t="inlineStr">
        <is>
          <t>% per year</t>
        </is>
      </c>
      <c r="E203" s="43" t="inlineStr">
        <is>
          <t>SYNTHETIC</t>
        </is>
      </c>
      <c r="F203" s="25" t="inlineStr">
        <is>
          <t>Analyst assumption - see 09_Management_Report.pdf for rationale</t>
        </is>
      </c>
      <c r="G203" s="26" t="inlineStr">
        <is>
          <t>Humanitarian-response funding normalizes gradually. Foundation grants decline 6% a year and government funding 10% a year as emergency appropriations lapse, partly offset by growth in individual, corporate and earned revenue. Participants grow 6% a year and cost per participant rises 3.5%. Management holds headcount roughly flat in real terms.</t>
        </is>
      </c>
    </row>
    <row r="204" ht="26" customHeight="1">
      <c r="A204" s="27" t="inlineStr">
        <is>
          <t>10. Scenario drivers (modelled)</t>
        </is>
      </c>
      <c r="B204" s="28" t="inlineStr">
        <is>
          <t>Return on investment balance - Upside</t>
        </is>
      </c>
      <c r="C204" s="44" t="n">
        <v>0.055</v>
      </c>
      <c r="D204" s="30" t="inlineStr">
        <is>
          <t>% per year</t>
        </is>
      </c>
      <c r="E204" s="31" t="inlineStr">
        <is>
          <t>SYNTHETIC</t>
        </is>
      </c>
      <c r="F204" s="32" t="inlineStr">
        <is>
          <t>Analyst assumption - see 09_Management_Report.pdf for rationale</t>
        </is>
      </c>
      <c r="G204" s="33" t="inlineStr">
        <is>
          <t>The organization converts surge-period relationships into durable multi-year commitments. Foundation funding resumes growth at 8% and government funding stabilizes. Corporate partnerships scale with the employer network. Participants grow 16% a year while cost per participant inflation stays at 2% through digital channel mix shift.</t>
        </is>
      </c>
    </row>
    <row r="205" ht="26" customHeight="1">
      <c r="A205" s="20" t="inlineStr">
        <is>
          <t>11. Budget reconstruction (modelled)</t>
        </is>
      </c>
      <c r="B205" s="21" t="inlineStr">
        <is>
          <t>FY2024 budgeted revenue growth</t>
        </is>
      </c>
      <c r="C205" s="42" t="n">
        <v>0.12</v>
      </c>
      <c r="D205" s="23" t="inlineStr">
        <is>
          <t>%</t>
        </is>
      </c>
      <c r="E205" s="43" t="inlineStr">
        <is>
          <t>SYNTHETIC</t>
        </is>
      </c>
      <c r="F205" s="25" t="inlineStr">
        <is>
          <t>Analyst assumption - see 09_Management_Report.pdf for rationale</t>
        </is>
      </c>
      <c r="G205" s="26" t="inlineStr">
        <is>
          <t>No public FY2024 budget exists. This is a reconstruction of what the board would plausibly have approved in late FY2023: revenue planned to grow 12% off the FY2023 actual, reflecting caution about whether the surge would hold, with expenses planned to grow 26% as the organization deployed reserves into program capacity. Actuals then came in ahead of plan on revenue and behind on spending - which is precisely the variance pattern worth explaining. Clearly labelled as a simulation throughout.</t>
        </is>
      </c>
    </row>
    <row r="206" ht="26" customHeight="1">
      <c r="A206" s="27" t="inlineStr">
        <is>
          <t>11. Budget reconstruction (modelled)</t>
        </is>
      </c>
      <c r="B206" s="28" t="inlineStr">
        <is>
          <t>FY2024 budgeted expense growth</t>
        </is>
      </c>
      <c r="C206" s="44" t="n">
        <v>0.26</v>
      </c>
      <c r="D206" s="30" t="inlineStr">
        <is>
          <t>%</t>
        </is>
      </c>
      <c r="E206" s="31" t="inlineStr">
        <is>
          <t>SYNTHETIC</t>
        </is>
      </c>
      <c r="F206" s="32" t="inlineStr">
        <is>
          <t>Analyst assumption - see 09_Management_Report.pdf for rationale</t>
        </is>
      </c>
      <c r="G206" s="33" t="inlineStr">
        <is>
          <t>No public FY2024 budget exists. This is a reconstruction of what the board would plausibly have approved in late FY2023: revenue planned to grow 12% off the FY2023 actual, reflecting caution about whether the surge would hold, with expenses planned to grow 26% as the organization deployed reserves into program capacity. Actuals then came in ahead of plan on revenue and behind on spending - which is precisely the variance pattern worth explaining. Clearly labelled as a simulation throughout.</t>
        </is>
      </c>
    </row>
    <row r="207" ht="26" customHeight="1">
      <c r="A207" s="20" t="inlineStr">
        <is>
          <t>11. Budget reconstruction (modelled)</t>
        </is>
      </c>
      <c r="B207" s="21" t="inlineStr">
        <is>
          <t>FY2024 budgeted participant growth</t>
        </is>
      </c>
      <c r="C207" s="42" t="n">
        <v>0.18</v>
      </c>
      <c r="D207" s="23" t="inlineStr">
        <is>
          <t>%</t>
        </is>
      </c>
      <c r="E207" s="43" t="inlineStr">
        <is>
          <t>SYNTHETIC</t>
        </is>
      </c>
      <c r="F207" s="25" t="inlineStr">
        <is>
          <t>Analyst assumption - see 09_Management_Report.pdf for rationale</t>
        </is>
      </c>
      <c r="G207" s="26" t="inlineStr">
        <is>
          <t>No public FY2024 budget exists. This is a reconstruction of what the board would plausibly have approved in late FY2023: revenue planned to grow 12% off the FY2023 actual, reflecting caution about whether the surge would hold, with expenses planned to grow 26% as the organization deployed reserves into program capacity. Actuals then came in ahead of plan on revenue and behind on spending - which is precisely the variance pattern worth explaining. Clearly labelled as a simulation throughout.</t>
        </is>
      </c>
    </row>
    <row r="208" ht="26" customHeight="1">
      <c r="A208" s="27" t="inlineStr">
        <is>
          <t>12. Resource allocation (modelled)</t>
        </is>
      </c>
      <c r="B208" s="28" t="inlineStr">
        <is>
          <t>Incremental funding to allocate</t>
        </is>
      </c>
      <c r="C208" s="45" t="n">
        <v>1000000</v>
      </c>
      <c r="D208" s="30" t="inlineStr">
        <is>
          <t>USD</t>
        </is>
      </c>
      <c r="E208" s="31" t="inlineStr">
        <is>
          <t>SYNTHETIC</t>
        </is>
      </c>
      <c r="F208" s="32" t="inlineStr">
        <is>
          <t>Analyst assumption - see 09_Management_Report.pdf for rationale</t>
        </is>
      </c>
      <c r="G208" s="33" t="inlineStr">
        <is>
          <t>An incremental $1,000,000 of unrestricted funding, on top of the existing program budget, to be allocated across the four programs to maximize expected additional successful outcomes. Framed as incremental rather than total because that is the decision management actually faces: the existing program base is largely committed.</t>
        </is>
      </c>
    </row>
    <row r="209" ht="26" customHeight="1">
      <c r="A209" s="20" t="inlineStr">
        <is>
          <t>12. Resource allocation (modelled)</t>
        </is>
      </c>
      <c r="B209" s="21" t="inlineStr">
        <is>
          <t>Constraint: min share per program</t>
        </is>
      </c>
      <c r="C209" s="42" t="n">
        <v>0.05</v>
      </c>
      <c r="D209" s="23" t="inlineStr">
        <is>
          <t>varies</t>
        </is>
      </c>
      <c r="E209" s="43" t="inlineStr">
        <is>
          <t>SYNTHETIC</t>
        </is>
      </c>
      <c r="F209" s="25" t="inlineStr">
        <is>
          <t>Analyst assumption - see 09_Management_Report.pdf for rationale</t>
        </is>
      </c>
      <c r="G209" s="26" t="inlineStr">
        <is>
          <t>Binds the optimization in 07_Resource_Allocation_Model.</t>
        </is>
      </c>
    </row>
    <row r="210" ht="26" customHeight="1">
      <c r="A210" s="27" t="inlineStr">
        <is>
          <t>12. Resource allocation (modelled)</t>
        </is>
      </c>
      <c r="B210" s="28" t="inlineStr">
        <is>
          <t>Constraint: max share per program</t>
        </is>
      </c>
      <c r="C210" s="44" t="n">
        <v>0.55</v>
      </c>
      <c r="D210" s="30" t="inlineStr">
        <is>
          <t>varies</t>
        </is>
      </c>
      <c r="E210" s="31" t="inlineStr">
        <is>
          <t>SYNTHETIC</t>
        </is>
      </c>
      <c r="F210" s="32" t="inlineStr">
        <is>
          <t>Analyst assumption - see 09_Management_Report.pdf for rationale</t>
        </is>
      </c>
      <c r="G210" s="33" t="inlineStr">
        <is>
          <t>Binds the optimization in 07_Resource_Allocation_Model.</t>
        </is>
      </c>
    </row>
    <row r="211" ht="26" customHeight="1">
      <c r="A211" s="20" t="inlineStr">
        <is>
          <t>12. Resource allocation (modelled)</t>
        </is>
      </c>
      <c r="B211" s="21" t="inlineStr">
        <is>
          <t>Constraint: admin load</t>
        </is>
      </c>
      <c r="C211" s="42" t="n">
        <v>0.12</v>
      </c>
      <c r="D211" s="23" t="inlineStr">
        <is>
          <t>varies</t>
        </is>
      </c>
      <c r="E211" s="43" t="inlineStr">
        <is>
          <t>SYNTHETIC</t>
        </is>
      </c>
      <c r="F211" s="25" t="inlineStr">
        <is>
          <t>Analyst assumption - see 09_Management_Report.pdf for rationale</t>
        </is>
      </c>
      <c r="G211" s="26" t="inlineStr">
        <is>
          <t>Binds the optimization in 07_Resource_Allocation_Model.</t>
        </is>
      </c>
    </row>
    <row r="212" ht="26" customHeight="1">
      <c r="A212" s="27" t="inlineStr">
        <is>
          <t>12. Resource allocation (modelled)</t>
        </is>
      </c>
      <c r="B212" s="28" t="inlineStr">
        <is>
          <t>Constraint: reserve floor months</t>
        </is>
      </c>
      <c r="C212" s="49" t="n">
        <v>6</v>
      </c>
      <c r="D212" s="30" t="inlineStr">
        <is>
          <t>varies</t>
        </is>
      </c>
      <c r="E212" s="31" t="inlineStr">
        <is>
          <t>SYNTHETIC</t>
        </is>
      </c>
      <c r="F212" s="32" t="inlineStr">
        <is>
          <t>Analyst assumption - see 09_Management_Report.pdf for rationale</t>
        </is>
      </c>
      <c r="G212" s="33" t="inlineStr">
        <is>
          <t>Binds the optimization in 07_Resource_Allocation_Model.</t>
        </is>
      </c>
    </row>
    <row r="213" ht="26" customHeight="1">
      <c r="A213" s="20" t="inlineStr">
        <is>
          <t>12. Resource allocation (modelled)</t>
        </is>
      </c>
      <c r="B213" s="21" t="inlineStr">
        <is>
          <t>Constraint: staff hours available</t>
        </is>
      </c>
      <c r="C213" s="50" t="n">
        <v>42000</v>
      </c>
      <c r="D213" s="23" t="inlineStr">
        <is>
          <t>varies</t>
        </is>
      </c>
      <c r="E213" s="43" t="inlineStr">
        <is>
          <t>SYNTHETIC</t>
        </is>
      </c>
      <c r="F213" s="25" t="inlineStr">
        <is>
          <t>Analyst assumption - see 09_Management_Report.pdf for rationale</t>
        </is>
      </c>
      <c r="G213" s="26" t="inlineStr">
        <is>
          <t>Binds the optimization in 07_Resource_Allocation_Model.</t>
        </is>
      </c>
    </row>
    <row r="214" ht="26" customHeight="1">
      <c r="A214" s="27" t="inlineStr">
        <is>
          <t>12. Resource allocation (modelled)</t>
        </is>
      </c>
      <c r="B214" s="28" t="inlineStr">
        <is>
          <t>Constraint: min avg salary gain</t>
        </is>
      </c>
      <c r="C214" s="49" t="n">
        <v>48000</v>
      </c>
      <c r="D214" s="30" t="inlineStr">
        <is>
          <t>varies</t>
        </is>
      </c>
      <c r="E214" s="31" t="inlineStr">
        <is>
          <t>SYNTHETIC</t>
        </is>
      </c>
      <c r="F214" s="32" t="inlineStr">
        <is>
          <t>Analyst assumption - see 09_Management_Report.pdf for rationale</t>
        </is>
      </c>
      <c r="G214" s="33" t="inlineStr">
        <is>
          <t>Binds the optimization in 07_Resource_Allocation_Model.</t>
        </is>
      </c>
    </row>
    <row r="215" ht="26" customHeight="1">
      <c r="A215" s="20" t="inlineStr">
        <is>
          <t>13. Social return parameters (modelled, low confidence)</t>
        </is>
      </c>
      <c r="B215" s="21" t="inlineStr">
        <is>
          <t>Benefit horizon years</t>
        </is>
      </c>
      <c r="C215" s="47" t="n">
        <v>3</v>
      </c>
      <c r="D215" s="23" t="inlineStr">
        <is>
          <t>varies</t>
        </is>
      </c>
      <c r="E215" s="43" t="inlineStr">
        <is>
          <t>SYNTHETIC</t>
        </is>
      </c>
      <c r="F215" s="25" t="inlineStr">
        <is>
          <t>Analyst assumption - see 09_Management_Report.pdf for rationale</t>
        </is>
      </c>
      <c r="G215" s="26" t="inlineStr">
        <is>
          <t>Social return figures are the least reliable numbers in this project and are reported last, with a sensitivity range rather than a point estimate. Every parameter below - attribution, deadweight, drop-off, persistence, horizon - is an assumption, and the headline ratio moves by more than a factor of two across plausible values for them. The cost-effectiveness measures in 06_Program_Economics (cost per participant, cost per successful outcome) are the numbers management should actually steer on, because they rest on far fewer assumptions.</t>
        </is>
      </c>
    </row>
    <row r="216" ht="26" customHeight="1">
      <c r="A216" s="27" t="inlineStr">
        <is>
          <t>13. Social return parameters (modelled, low confidence)</t>
        </is>
      </c>
      <c r="B216" s="28" t="inlineStr">
        <is>
          <t>Discount rate</t>
        </is>
      </c>
      <c r="C216" s="44" t="n">
        <v>0.03</v>
      </c>
      <c r="D216" s="30" t="inlineStr">
        <is>
          <t>varies</t>
        </is>
      </c>
      <c r="E216" s="31" t="inlineStr">
        <is>
          <t>SYNTHETIC</t>
        </is>
      </c>
      <c r="F216" s="32" t="inlineStr">
        <is>
          <t>Analyst assumption - see 09_Management_Report.pdf for rationale</t>
        </is>
      </c>
      <c r="G216" s="33" t="inlineStr">
        <is>
          <t>Social return figures are the least reliable numbers in this project and are reported last, with a sensitivity range rather than a point estimate. Every parameter below - attribution, deadweight, drop-off, persistence, horizon - is an assumption, and the headline ratio moves by more than a factor of two across plausible values for them. The cost-effectiveness measures in 06_Program_Economics (cost per participant, cost per successful outcome) are the numbers management should actually steer on, because they rest on far fewer assumptions.</t>
        </is>
      </c>
    </row>
    <row r="217" ht="26" customHeight="1">
      <c r="A217" s="20" t="inlineStr">
        <is>
          <t>13. Social return parameters (modelled, low confidence)</t>
        </is>
      </c>
      <c r="B217" s="21" t="inlineStr">
        <is>
          <t>Attribution rate</t>
        </is>
      </c>
      <c r="C217" s="42" t="n">
        <v>0.55</v>
      </c>
      <c r="D217" s="23" t="inlineStr">
        <is>
          <t>varies</t>
        </is>
      </c>
      <c r="E217" s="43" t="inlineStr">
        <is>
          <t>SYNTHETIC</t>
        </is>
      </c>
      <c r="F217" s="25" t="inlineStr">
        <is>
          <t>Analyst assumption - see 09_Management_Report.pdf for rationale</t>
        </is>
      </c>
      <c r="G217" s="26" t="inlineStr">
        <is>
          <t>Social return figures are the least reliable numbers in this project and are reported last, with a sensitivity range rather than a point estimate. Every parameter below - attribution, deadweight, drop-off, persistence, horizon - is an assumption, and the headline ratio moves by more than a factor of two across plausible values for them. The cost-effectiveness measures in 06_Program_Economics (cost per participant, cost per successful outcome) are the numbers management should actually steer on, because they rest on far fewer assumptions.</t>
        </is>
      </c>
    </row>
    <row r="218" ht="26" customHeight="1">
      <c r="A218" s="27" t="inlineStr">
        <is>
          <t>13. Social return parameters (modelled, low confidence)</t>
        </is>
      </c>
      <c r="B218" s="28" t="inlineStr">
        <is>
          <t>Deadweight rate</t>
        </is>
      </c>
      <c r="C218" s="44" t="n">
        <v>0.25</v>
      </c>
      <c r="D218" s="30" t="inlineStr">
        <is>
          <t>varies</t>
        </is>
      </c>
      <c r="E218" s="31" t="inlineStr">
        <is>
          <t>SYNTHETIC</t>
        </is>
      </c>
      <c r="F218" s="32" t="inlineStr">
        <is>
          <t>Analyst assumption - see 09_Management_Report.pdf for rationale</t>
        </is>
      </c>
      <c r="G218" s="33" t="inlineStr">
        <is>
          <t>Social return figures are the least reliable numbers in this project and are reported last, with a sensitivity range rather than a point estimate. Every parameter below - attribution, deadweight, drop-off, persistence, horizon - is an assumption, and the headline ratio moves by more than a factor of two across plausible values for them. The cost-effectiveness measures in 06_Program_Economics (cost per participant, cost per successful outcome) are the numbers management should actually steer on, because they rest on far fewer assumptions.</t>
        </is>
      </c>
    </row>
    <row r="219" ht="26" customHeight="1">
      <c r="A219" s="20" t="inlineStr">
        <is>
          <t>13. Social return parameters (modelled, low confidence)</t>
        </is>
      </c>
      <c r="B219" s="21" t="inlineStr">
        <is>
          <t>Dropoff rate</t>
        </is>
      </c>
      <c r="C219" s="42" t="n">
        <v>0.2</v>
      </c>
      <c r="D219" s="23" t="inlineStr">
        <is>
          <t>varies</t>
        </is>
      </c>
      <c r="E219" s="43" t="inlineStr">
        <is>
          <t>SYNTHETIC</t>
        </is>
      </c>
      <c r="F219" s="25" t="inlineStr">
        <is>
          <t>Analyst assumption - see 09_Management_Report.pdf for rationale</t>
        </is>
      </c>
      <c r="G219" s="26" t="inlineStr">
        <is>
          <t>Social return figures are the least reliable numbers in this project and are reported last, with a sensitivity range rather than a point estimate. Every parameter below - attribution, deadweight, drop-off, persistence, horizon - is an assumption, and the headline ratio moves by more than a factor of two across plausible values for them. The cost-effectiveness measures in 06_Program_Economics (cost per participant, cost per successful outcome) are the numbers management should actually steer on, because they rest on far fewer assumptions.</t>
        </is>
      </c>
    </row>
    <row r="220" ht="26" customHeight="1">
      <c r="A220" s="27" t="inlineStr">
        <is>
          <t>13. Social return parameters (modelled, low confidence)</t>
        </is>
      </c>
      <c r="B220" s="28" t="inlineStr">
        <is>
          <t>Persistence rate</t>
        </is>
      </c>
      <c r="C220" s="44" t="n">
        <v>0.78</v>
      </c>
      <c r="D220" s="30" t="inlineStr">
        <is>
          <t>varies</t>
        </is>
      </c>
      <c r="E220" s="31" t="inlineStr">
        <is>
          <t>SYNTHETIC</t>
        </is>
      </c>
      <c r="F220" s="32" t="inlineStr">
        <is>
          <t>Analyst assumption - see 09_Management_Report.pdf for rationale</t>
        </is>
      </c>
      <c r="G220" s="33" t="inlineStr">
        <is>
          <t>Social return figures are the least reliable numbers in this project and are reported last, with a sensitivity range rather than a point estimate. Every parameter below - attribution, deadweight, drop-off, persistence, horizon - is an assumption, and the headline ratio moves by more than a factor of two across plausible values for them. The cost-effectiveness measures in 06_Program_Economics (cost per participant, cost per successful outcome) are the numbers management should actually steer on, because they rest on far fewer assumptions.</t>
        </is>
      </c>
    </row>
  </sheetData>
  <autoFilter ref="A4:G220"/>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tabColor rgb="0012324F"/>
    <outlinePr summaryBelow="1" summaryRight="1"/>
    <pageSetUpPr/>
  </sheetPr>
  <dimension ref="A1:D22"/>
  <sheetViews>
    <sheetView showGridLines="0" workbookViewId="0">
      <selection activeCell="A1" sqref="A1"/>
    </sheetView>
  </sheetViews>
  <sheetFormatPr baseColWidth="8" defaultRowHeight="15"/>
  <cols>
    <col width="4" customWidth="1" min="1" max="1"/>
    <col width="34" customWidth="1" min="2" max="2"/>
    <col width="96" customWidth="1" min="3" max="3"/>
    <col width="16" customWidth="1" min="4" max="4"/>
  </cols>
  <sheetData>
    <row r="1" ht="24" customHeight="1">
      <c r="A1" s="15" t="inlineStr">
        <is>
          <t>Sources</t>
        </is>
      </c>
    </row>
    <row r="2">
      <c r="A2" s="16" t="inlineStr">
        <is>
          <t>Every external source relied on, with what was taken from it.</t>
        </is>
      </c>
    </row>
    <row r="3">
      <c r="A3" s="17" t="n"/>
      <c r="B3" s="17" t="n"/>
      <c r="C3" s="17" t="n"/>
      <c r="D3" s="17" t="n"/>
    </row>
    <row r="4" ht="30" customHeight="1">
      <c r="A4" s="18" t="inlineStr"/>
      <c r="B4" s="19" t="inlineStr">
        <is>
          <t>Source</t>
        </is>
      </c>
      <c r="C4" s="19" t="inlineStr">
        <is>
          <t>What was taken from it</t>
        </is>
      </c>
      <c r="D4" s="19" t="inlineStr">
        <is>
          <t>Tier</t>
        </is>
      </c>
    </row>
    <row r="5" ht="52" customHeight="1">
      <c r="A5" s="23" t="inlineStr">
        <is>
          <t>1</t>
        </is>
      </c>
      <c r="B5" s="52" t="inlineStr">
        <is>
          <t>IRS Form 990, EIN 94-3346127</t>
        </is>
      </c>
      <c r="C5" s="53" t="inlineStr">
        <is>
          <t>Total revenue, total functional expenses, total assets, total liabilities, contributions and grants, program service revenue, investment income, officer compensation, other salaries and wages, payroll taxes, and net assets, for fiscal years 2019 through 2024.</t>
        </is>
      </c>
      <c r="D5" s="24" t="inlineStr">
        <is>
          <t>PUBLIC</t>
        </is>
      </c>
    </row>
    <row r="6" ht="24" customHeight="1">
      <c r="C6" s="54" t="inlineStr">
        <is>
          <t>IRS Form 990 via ProPublica Nonprofit Explorer, EIN 94-3346127 - https://projects.propublica.org/nonprofits/organizations/943346127</t>
        </is>
      </c>
    </row>
    <row r="7" ht="52" customHeight="1">
      <c r="A7" s="23" t="inlineStr">
        <is>
          <t>2</t>
        </is>
      </c>
      <c r="B7" s="52" t="inlineStr">
        <is>
          <t>Upwardly Global impact reporting (2025)</t>
        </is>
      </c>
      <c r="C7" s="53" t="inlineStr">
        <is>
          <t>13,350 jobseekers supported, 1,730+ placed, $67,580 average starting salary, $58,790 average salary gain, 100+ employer partners, 87 workforce partnerships, 188 countries represented.</t>
        </is>
      </c>
      <c r="D7" s="24" t="inlineStr">
        <is>
          <t>PUBLIC</t>
        </is>
      </c>
    </row>
    <row r="8" ht="24" customHeight="1">
      <c r="C8" s="54" t="inlineStr">
        <is>
          <t>Upwardly Global, Impact page (2025 annual metrics) - https://www.upwardlyglobal.org/impact/</t>
        </is>
      </c>
    </row>
    <row r="9" ht="52" customHeight="1">
      <c r="A9" s="23" t="inlineStr">
        <is>
          <t>3</t>
        </is>
      </c>
      <c r="B9" s="52" t="inlineStr">
        <is>
          <t>Upwardly Global 2022 Annual Report</t>
        </is>
      </c>
      <c r="C9" s="53" t="inlineStr">
        <is>
          <t>7,041 program participants, 1,116 placed in thriving-wage jobs, $66,481 average annual starting salary, $74M estimated annual economic contribution, 300 corporate partners.</t>
        </is>
      </c>
      <c r="D9" s="24" t="inlineStr">
        <is>
          <t>PUBLIC</t>
        </is>
      </c>
    </row>
    <row r="10" ht="24" customHeight="1">
      <c r="C10" s="54" t="inlineStr">
        <is>
          <t>Upwardly Global, 2022 Annual Report 'By the Numbers' - https://annual-report.upwardlyglobal.org/2022/by-the-numbers/</t>
        </is>
      </c>
    </row>
    <row r="11" ht="52" customHeight="1">
      <c r="A11" s="23" t="inlineStr">
        <is>
          <t>4</t>
        </is>
      </c>
      <c r="B11" s="52" t="inlineStr">
        <is>
          <t>BBB Wise Giving Alliance Standards</t>
        </is>
      </c>
      <c r="C11" s="53" t="inlineStr">
        <is>
          <t>Standard 8: at least 65% of total expenses on programs. Standard 9: no more than 35% of related contributions on fundraising. Standard 10: unrestricted net assets available for use should not exceed three times prior-year expenses or current-year budget.</t>
        </is>
      </c>
      <c r="D11" s="39" t="inlineStr">
        <is>
          <t>BENCHMARK</t>
        </is>
      </c>
    </row>
    <row r="12" ht="24" customHeight="1">
      <c r="C12" s="54" t="inlineStr">
        <is>
          <t>BBB Wise Giving Alliance, Standards for Charity Accountability, Standards 8, 9 and 10 - https://give.org/bbb-standards-for-charity-accountability</t>
        </is>
      </c>
    </row>
    <row r="13" ht="52" customHeight="1">
      <c r="A13" s="23" t="inlineStr">
        <is>
          <t>5</t>
        </is>
      </c>
      <c r="B13" s="52" t="inlineStr">
        <is>
          <t>Propel Nonprofits, operating reserves</t>
        </is>
      </c>
      <c r="C13" s="53" t="inlineStr">
        <is>
          <t>A commonly used reserve goal is three to six months of expenses. At the low end reserves should cover at least one full payroll including taxes. At the high end they should not exceed two years of budget.</t>
        </is>
      </c>
      <c r="D13" s="39" t="inlineStr">
        <is>
          <t>BENCHMARK</t>
        </is>
      </c>
    </row>
    <row r="14" ht="24" customHeight="1">
      <c r="C14" s="54" t="inlineStr">
        <is>
          <t>Propel Nonprofits, Operating Reserves with Nonprofit Policy Examples - https://propelnonprofits.org/resources/operating-reserves-with-nonprofit-policy-examples/</t>
        </is>
      </c>
    </row>
    <row r="15" ht="52" customHeight="1">
      <c r="A15" s="23" t="inlineStr">
        <is>
          <t>6</t>
        </is>
      </c>
      <c r="B15" s="52" t="inlineStr">
        <is>
          <t>Charity Navigator rating profile</t>
        </is>
      </c>
      <c r="C15" s="53" t="inlineStr">
        <is>
          <t>4 of 4 stars, 96% overall score, all four beacons complete. Used as an upper sanity bound on the modelled functional expense split - a 4-star organization is very unlikely to sit near the BBB minimum program ratio.</t>
        </is>
      </c>
      <c r="D15" s="24" t="inlineStr">
        <is>
          <t>PUBLIC</t>
        </is>
      </c>
    </row>
    <row r="16" ht="24" customHeight="1">
      <c r="C16" s="54" t="inlineStr">
        <is>
          <t>Charity Navigator rating profile, EIN 94-3346127 - https://www.charitynavigator.org/ein/943346127</t>
        </is>
      </c>
    </row>
    <row r="18" ht="18" customHeight="1">
      <c r="A18" s="55" t="inlineStr">
        <is>
          <t>Data quality notes</t>
        </is>
      </c>
      <c r="B18" s="56" t="n"/>
      <c r="C18" s="56" t="n"/>
      <c r="D18" s="56" t="n"/>
    </row>
    <row r="19" ht="56" customHeight="1">
      <c r="B19" s="53" t="inlineStr">
        <is>
          <t>The FY2024 filing exposes total revenue, total expenses, total assets, net assets, officer compensation and other salaries in machine-readable form, but not the revenue mix. Contributions, program service revenue and investment income for FY2024 are therefore derived from the published approximate mix of 91% contributions and 4% program services, and are tagged DERIVED rather than PUBLIC.</t>
        </is>
      </c>
    </row>
    <row r="20" ht="42" customHeight="1">
      <c r="B20" s="53" t="inlineStr">
        <is>
          <t>Form 990 Part IX splits expenses into program, management and general, and fundraising. That split is not exposed in the machine-readable extract used here, so it is modelled. This is the single largest piece of judgement in the historical analysis and it drives the program expense ratio, the administrative ratio and the fundraising cost ratio directly.</t>
        </is>
      </c>
    </row>
    <row r="21" ht="42" customHeight="1">
      <c r="B21" s="53" t="inlineStr">
        <is>
          <t>Published participant and placement counts exist for 2022 and 2025 only. Intervening and earlier years are interpolated at constant growth between those two observations. The back-cast to 2019 through 2021 is the weakest part of that chain and should be read as illustrative rather than as an estimate of what actually happened.</t>
        </is>
      </c>
    </row>
    <row r="22" ht="42" customHeight="1">
      <c r="B22" s="53" t="inlineStr">
        <is>
          <t>The organization's own reporting uses at least two different all-time participant definitions - 13,460 individuals and families with improved lives in the 2022 report against 35,000+ jobseekers on the 2025 impact page. Definitions of who counts as served clearly changed. Only the single-year figures are used here, and only from the two dates cited.</t>
        </is>
      </c>
    </row>
  </sheetData>
  <mergeCells count="4">
    <mergeCell ref="B22:D22"/>
    <mergeCell ref="B19:D19"/>
    <mergeCell ref="B21:D21"/>
    <mergeCell ref="B20:D20"/>
  </mergeCells>
  <pageMargins left="0.75" right="0.75" top="1" bottom="1" header="0.5" footer="0.5"/>
</worksheet>
</file>

<file path=xl/worksheets/sheet4.xml><?xml version="1.0" encoding="utf-8"?>
<worksheet xmlns="http://schemas.openxmlformats.org/spreadsheetml/2006/main">
  <sheetPr>
    <tabColor rgb="000B6E4F"/>
    <outlinePr summaryBelow="1" summaryRight="1"/>
    <pageSetUpPr/>
  </sheetPr>
  <dimension ref="A1:F24"/>
  <sheetViews>
    <sheetView showGridLines="0" workbookViewId="0">
      <selection activeCell="A1" sqref="A1"/>
    </sheetView>
  </sheetViews>
  <sheetFormatPr baseColWidth="8" defaultRowHeight="15"/>
  <cols>
    <col width="46" customWidth="1" min="1" max="1"/>
    <col width="18" customWidth="1" min="2" max="2"/>
    <col width="18" customWidth="1" min="3" max="3"/>
    <col width="14" customWidth="1" min="4" max="4"/>
    <col width="12" customWidth="1" min="5" max="5"/>
    <col width="62" customWidth="1" min="6" max="6"/>
  </cols>
  <sheetData>
    <row r="1" ht="24" customHeight="1">
      <c r="A1" s="15" t="inlineStr">
        <is>
          <t>Reconciliation checks</t>
        </is>
      </c>
    </row>
    <row r="2">
      <c r="A2" s="16" t="inlineStr">
        <is>
          <t>Live formulas proving that every modelled split sums back to a filed total. Any FAIL here invalidates the model.</t>
        </is>
      </c>
    </row>
    <row r="3">
      <c r="A3" s="17" t="n"/>
      <c r="B3" s="17" t="n"/>
      <c r="C3" s="17" t="n"/>
      <c r="D3" s="17" t="n"/>
      <c r="E3" s="17" t="n"/>
      <c r="F3" s="17" t="n"/>
    </row>
    <row r="4" ht="30" customHeight="1">
      <c r="A4" s="18" t="inlineStr">
        <is>
          <t>Check</t>
        </is>
      </c>
      <c r="B4" s="19" t="inlineStr">
        <is>
          <t>Modelled</t>
        </is>
      </c>
      <c r="C4" s="19" t="inlineStr">
        <is>
          <t>Filed / control</t>
        </is>
      </c>
      <c r="D4" s="19" t="inlineStr">
        <is>
          <t>Difference</t>
        </is>
      </c>
      <c r="E4" s="19" t="inlineStr">
        <is>
          <t>Result</t>
        </is>
      </c>
      <c r="F4" s="19" t="inlineStr">
        <is>
          <t>What it proves</t>
        </is>
      </c>
    </row>
    <row r="5" ht="28" customHeight="1">
      <c r="A5" s="21" t="inlineStr">
        <is>
          <t>FY2019 functional expense split sums to filed total</t>
        </is>
      </c>
      <c r="B5" s="57" t="n">
        <v>5531091</v>
      </c>
      <c r="C5" s="57" t="n">
        <v>5531091</v>
      </c>
      <c r="D5" s="58">
        <f>B5-C5</f>
        <v/>
      </c>
      <c r="E5" s="59">
        <f>IF(ABS(D5)&lt;1,"PASS","FAIL")</f>
        <v/>
      </c>
      <c r="F5" s="60" t="inlineStr">
        <is>
          <t>Program + management and general + fundraising must equal the Form 990 total expense line.</t>
        </is>
      </c>
    </row>
    <row r="6" ht="28" customHeight="1">
      <c r="A6" s="21" t="inlineStr">
        <is>
          <t>FY2020 functional expense split sums to filed total</t>
        </is>
      </c>
      <c r="B6" s="57" t="n">
        <v>5670504</v>
      </c>
      <c r="C6" s="57" t="n">
        <v>5670504</v>
      </c>
      <c r="D6" s="58">
        <f>B6-C6</f>
        <v/>
      </c>
      <c r="E6" s="59">
        <f>IF(ABS(D6)&lt;1,"PASS","FAIL")</f>
        <v/>
      </c>
      <c r="F6" s="60" t="inlineStr">
        <is>
          <t>Program + management and general + fundraising must equal the Form 990 total expense line.</t>
        </is>
      </c>
    </row>
    <row r="7" ht="28" customHeight="1">
      <c r="A7" s="21" t="inlineStr">
        <is>
          <t>FY2021 functional expense split sums to filed total</t>
        </is>
      </c>
      <c r="B7" s="57" t="n">
        <v>6893690</v>
      </c>
      <c r="C7" s="57" t="n">
        <v>6893690</v>
      </c>
      <c r="D7" s="58">
        <f>B7-C7</f>
        <v/>
      </c>
      <c r="E7" s="59">
        <f>IF(ABS(D7)&lt;1,"PASS","FAIL")</f>
        <v/>
      </c>
      <c r="F7" s="60" t="inlineStr">
        <is>
          <t>Program + management and general + fundraising must equal the Form 990 total expense line.</t>
        </is>
      </c>
    </row>
    <row r="8" ht="28" customHeight="1">
      <c r="A8" s="21" t="inlineStr">
        <is>
          <t>FY2022 functional expense split sums to filed total</t>
        </is>
      </c>
      <c r="B8" s="57" t="n">
        <v>9316393</v>
      </c>
      <c r="C8" s="57" t="n">
        <v>9316393</v>
      </c>
      <c r="D8" s="58">
        <f>B8-C8</f>
        <v/>
      </c>
      <c r="E8" s="59">
        <f>IF(ABS(D8)&lt;1,"PASS","FAIL")</f>
        <v/>
      </c>
      <c r="F8" s="60" t="inlineStr">
        <is>
          <t>Program + management and general + fundraising must equal the Form 990 total expense line.</t>
        </is>
      </c>
    </row>
    <row r="9" ht="28" customHeight="1">
      <c r="A9" s="21" t="inlineStr">
        <is>
          <t>FY2023 functional expense split sums to filed total</t>
        </is>
      </c>
      <c r="B9" s="57" t="n">
        <v>13659379</v>
      </c>
      <c r="C9" s="57" t="n">
        <v>13659379</v>
      </c>
      <c r="D9" s="58">
        <f>B9-C9</f>
        <v/>
      </c>
      <c r="E9" s="59">
        <f>IF(ABS(D9)&lt;1,"PASS","FAIL")</f>
        <v/>
      </c>
      <c r="F9" s="60" t="inlineStr">
        <is>
          <t>Program + management and general + fundraising must equal the Form 990 total expense line.</t>
        </is>
      </c>
    </row>
    <row r="10" ht="28" customHeight="1">
      <c r="A10" s="21" t="inlineStr">
        <is>
          <t>FY2024 functional expense split sums to filed total</t>
        </is>
      </c>
      <c r="B10" s="57" t="n">
        <v>18275646</v>
      </c>
      <c r="C10" s="57" t="n">
        <v>18275646</v>
      </c>
      <c r="D10" s="58">
        <f>B10-C10</f>
        <v/>
      </c>
      <c r="E10" s="59">
        <f>IF(ABS(D10)&lt;1,"PASS","FAIL")</f>
        <v/>
      </c>
      <c r="F10" s="60" t="inlineStr">
        <is>
          <t>Program + management and general + fundraising must equal the Form 990 total expense line.</t>
        </is>
      </c>
    </row>
    <row r="11" ht="28" customHeight="1">
      <c r="A11" s="21" t="inlineStr">
        <is>
          <t>FY2023 revenue category split sums to contributions</t>
        </is>
      </c>
      <c r="B11" s="57" t="n">
        <v>20709887</v>
      </c>
      <c r="C11" s="57" t="n">
        <v>20709887</v>
      </c>
      <c r="D11" s="58">
        <f>B11-C11</f>
        <v/>
      </c>
      <c r="E11" s="59">
        <f>IF(ABS(D11)&lt;1,"PASS","FAIL")</f>
        <v/>
      </c>
      <c r="F11" s="60" t="inlineStr">
        <is>
          <t>The five funding categories must sum to the filed contributions and grants total.</t>
        </is>
      </c>
    </row>
    <row r="12" ht="28" customHeight="1">
      <c r="A12" s="21" t="inlineStr">
        <is>
          <t>FY2024 revenue category split sums to contributions</t>
        </is>
      </c>
      <c r="B12" s="57" t="n">
        <v>26008174</v>
      </c>
      <c r="C12" s="57" t="n">
        <v>26008174</v>
      </c>
      <c r="D12" s="58">
        <f>B12-C12</f>
        <v/>
      </c>
      <c r="E12" s="59">
        <f>IF(ABS(D12)&lt;1,"PASS","FAIL")</f>
        <v/>
      </c>
      <c r="F12" s="60" t="inlineStr">
        <is>
          <t>The five funding categories must sum to the filed contributions and grants total.</t>
        </is>
      </c>
    </row>
    <row r="13" ht="28" customHeight="1">
      <c r="A13" s="21" t="inlineStr">
        <is>
          <t>FY2024 program costs sum to the program expense pool</t>
        </is>
      </c>
      <c r="B13" s="57" t="n">
        <v>14346382</v>
      </c>
      <c r="C13" s="57" t="n">
        <v>14346382.11</v>
      </c>
      <c r="D13" s="58">
        <f>B13-C13</f>
        <v/>
      </c>
      <c r="E13" s="59">
        <f>IF(ABS(D13)&lt;1,"PASS","FAIL")</f>
        <v/>
      </c>
      <c r="F13" s="60" t="inlineStr">
        <is>
          <t>The four programs must sum to the modelled program services pool, which is itself a fixed share of the filed total expense.</t>
        </is>
      </c>
    </row>
    <row r="14" ht="28" customHeight="1">
      <c r="A14" s="21" t="inlineStr">
        <is>
          <t>FY2024 program participants sum to the interpolated total</t>
        </is>
      </c>
      <c r="B14" s="57" t="n">
        <v>10786</v>
      </c>
      <c r="C14" s="57" t="n">
        <v>10786.1293769922</v>
      </c>
      <c r="D14" s="58">
        <f>B14-C14</f>
        <v/>
      </c>
      <c r="E14" s="59">
        <f>IF(ABS(D14)&lt;1,"PASS","FAIL")</f>
        <v/>
      </c>
      <c r="F14" s="60" t="inlineStr">
        <is>
          <t>The four programs' participant counts must sum to the count interpolated between the two published observations.</t>
        </is>
      </c>
    </row>
    <row r="15" ht="28" customHeight="1">
      <c r="A15" s="21" t="inlineStr">
        <is>
          <t>FY2024 successful outcomes sum to the interpolated total</t>
        </is>
      </c>
      <c r="B15" s="57" t="n">
        <v>1494</v>
      </c>
      <c r="C15" s="57" t="n">
        <v>1494.808184097706</v>
      </c>
      <c r="D15" s="58">
        <f>B15-C15</f>
        <v/>
      </c>
      <c r="E15" s="59">
        <f>IF(ABS(D15)&lt;1,"PASS","FAIL")</f>
        <v/>
      </c>
      <c r="F15" s="60" t="inlineStr">
        <is>
          <t>Rounded to whole placements, so a difference under one person is expected.</t>
        </is>
      </c>
    </row>
    <row r="16" ht="28" customHeight="1">
      <c r="A16" s="21" t="inlineStr">
        <is>
          <t>FY2024 balance sheet composition sums to filed total assets</t>
        </is>
      </c>
      <c r="B16" s="57" t="n">
        <v>42583791</v>
      </c>
      <c r="C16" s="57" t="n">
        <v>42583791</v>
      </c>
      <c r="D16" s="58">
        <f>B16-C16</f>
        <v/>
      </c>
      <c r="E16" s="59">
        <f>IF(ABS(D16)&lt;1,"PASS","FAIL")</f>
        <v/>
      </c>
      <c r="F16" s="60" t="inlineStr">
        <is>
          <t>The modelled asset classes must sum to the filed total assets figure.</t>
        </is>
      </c>
    </row>
    <row r="17" ht="28" customHeight="1">
      <c r="A17" s="21" t="inlineStr">
        <is>
          <t>FY2024 assets less liabilities equals filed net assets</t>
        </is>
      </c>
      <c r="B17" s="57" t="n">
        <v>39907054</v>
      </c>
      <c r="C17" s="57" t="n">
        <v>39907054</v>
      </c>
      <c r="D17" s="58">
        <f>B17-C17</f>
        <v/>
      </c>
      <c r="E17" s="59">
        <f>IF(ABS(D17)&lt;1,"PASS","FAIL")</f>
        <v/>
      </c>
      <c r="F17" s="60" t="inlineStr">
        <is>
          <t>Confirms the derived FY2024 liability figure is consistent with the two public values it was backed out of.</t>
        </is>
      </c>
    </row>
    <row r="18" ht="28" customHeight="1">
      <c r="A18" s="21" t="inlineStr">
        <is>
          <t>Revenue category shares sum to 100%</t>
        </is>
      </c>
      <c r="B18" s="57" t="n">
        <v>1000000</v>
      </c>
      <c r="C18" s="57" t="n">
        <v>1000000</v>
      </c>
      <c r="D18" s="58">
        <f>B18-C18</f>
        <v/>
      </c>
      <c r="E18" s="59">
        <f>IF(ABS(D18)&lt;1,"PASS","FAIL")</f>
        <v/>
      </c>
      <c r="F18" s="60" t="inlineStr">
        <is>
          <t>Scaled by a million so the tolerance test is meaningful in the same units as the others.</t>
        </is>
      </c>
    </row>
    <row r="19" ht="28" customHeight="1">
      <c r="A19" s="21" t="inlineStr">
        <is>
          <t>FY2024 implied average salary times FTE equals filed salaries</t>
        </is>
      </c>
      <c r="B19" s="57" t="n">
        <v>10260344</v>
      </c>
      <c r="C19" s="57" t="n">
        <v>10260344</v>
      </c>
      <c r="D19" s="58">
        <f>B19-C19</f>
        <v/>
      </c>
      <c r="E19" s="59">
        <f>IF(ABS(D19)&lt;1,"PASS","FAIL")</f>
        <v/>
      </c>
      <c r="F19" s="60" t="inlineStr">
        <is>
          <t>Confirms the assumed headcount and the solved average salary reproduce the filed salary total.</t>
        </is>
      </c>
    </row>
    <row r="20" ht="28" customHeight="1">
      <c r="A20" s="21" t="inlineStr">
        <is>
          <t>Program delivery hours equal FTE times program share times hours per FTE</t>
        </is>
      </c>
      <c r="B20" s="57" t="n">
        <v>150427.2</v>
      </c>
      <c r="C20" s="57" t="n">
        <v>150427.2</v>
      </c>
      <c r="D20" s="58">
        <f>B20-C20</f>
        <v/>
      </c>
      <c r="E20" s="59">
        <f>IF(ABS(D20)&lt;1,"PASS","FAIL")</f>
        <v/>
      </c>
      <c r="F20" s="60" t="inlineStr">
        <is>
          <t>Ties the capacity constraint used in the allocation model to the personnel cost in the P&amp;L.</t>
        </is>
      </c>
    </row>
    <row r="22">
      <c r="A22" s="61" t="inlineStr">
        <is>
          <t>All checks pass</t>
        </is>
      </c>
      <c r="E22" s="62">
        <f>IF(COUNTIF(E5:E20,"FAIL")=0,"PASS","FAIL")</f>
        <v/>
      </c>
    </row>
    <row r="24" ht="52" customHeight="1">
      <c r="A24" s="63" t="inlineStr">
        <is>
          <t>Tolerance is one dollar, or one person for count checks. The participant and outcome checks compare integer program counts against a continuous interpolation, so a sub-unit difference there is arithmetic rounding rather than a modelling error.</t>
        </is>
      </c>
    </row>
  </sheetData>
  <mergeCells count="1">
    <mergeCell ref="A24:F2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2026-09-10T18:12:41Z</dcterms:created>
  <dcterms:modified xmlns:dcterms="http://purl.org/dc/terms/" xmlns:xsi="http://www.w3.org/2001/XMLSchema-instance" xsi:type="dcterms:W3CDTF">2026-09-10T18:12:41Z</dcterms:modified>
</cp:coreProperties>
</file>