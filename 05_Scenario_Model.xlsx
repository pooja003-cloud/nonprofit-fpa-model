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data" sheetId="1" state="visible" r:id="rId1"/>
    <sheet xmlns:r="http://schemas.openxmlformats.org/officeDocument/2006/relationships" name="Scenario model" sheetId="2" state="visible" r:id="rId2"/>
    <sheet xmlns:r="http://schemas.openxmlformats.org/officeDocument/2006/relationships" name="Scenario comparison" sheetId="3" state="visible" r:id="rId3"/>
    <sheet xmlns:r="http://schemas.openxmlformats.org/officeDocument/2006/relationships" name="Scenario switch" sheetId="4" state="visible" r:id="rId4"/>
    <sheet xmlns:r="http://schemas.openxmlformats.org/officeDocument/2006/relationships" name="Funding sensitivity" sheetId="5" state="visible" r:id="rId5"/>
  </sheets>
  <definedNames/>
  <calcPr calcId="124519" fullCalcOnLoad="1"/>
</workbook>
</file>

<file path=xl/styles.xml><?xml version="1.0" encoding="utf-8"?>
<styleSheet xmlns="http://schemas.openxmlformats.org/spreadsheetml/2006/main">
  <numFmts count="6">
    <numFmt numFmtId="164" formatCode="#,##0;[Red](#,##0);&quot;-&quot;"/>
    <numFmt numFmtId="165" formatCode="0.0%;[Red](0.0%);&quot;-&quot;"/>
    <numFmt numFmtId="166" formatCode="#,##0.0;[Red](#,##0.0);&quot;-&quot;"/>
    <numFmt numFmtId="167" formatCode="0.0&quot; mo&quot;"/>
    <numFmt numFmtId="168" formatCode="0.00&quot;x&quot;"/>
    <numFmt numFmtId="169" formatCode="#,##0.00;[Red](#,##0.00);&quot;-&quot;"/>
  </numFmts>
  <fonts count="23">
    <font>
      <name val="Calibri"/>
      <family val="2"/>
      <color theme="1"/>
      <sz val="11"/>
      <scheme val="minor"/>
    </font>
    <font>
      <name val="Calibri"/>
      <b val="1"/>
      <color rgb="0012324F"/>
      <sz val="15"/>
    </font>
    <font>
      <name val="Calibri"/>
      <i val="1"/>
      <color rgb="005F6B7A"/>
      <sz val="9.5"/>
    </font>
    <font>
      <name val="Calibri"/>
      <b val="1"/>
      <color rgb="0012324F"/>
      <sz val="10"/>
    </font>
    <font>
      <name val="Calibri"/>
      <b val="1"/>
      <color rgb="00FFFFFF"/>
      <sz val="11"/>
    </font>
    <font>
      <name val="Calibri"/>
      <color rgb="001A1A1A"/>
      <sz val="9.5"/>
    </font>
    <font>
      <name val="Calibri"/>
      <color rgb="000033CC"/>
      <sz val="10"/>
    </font>
    <font>
      <name val="Calibri"/>
      <b val="1"/>
      <color rgb="00FFFFFF"/>
      <sz val="8.5"/>
    </font>
    <font>
      <name val="Calibri"/>
      <b val="1"/>
      <color rgb="001A1A1A"/>
      <sz val="9.5"/>
    </font>
    <font>
      <name val="Calibri"/>
      <b val="1"/>
      <color rgb="000033CC"/>
      <sz val="10"/>
    </font>
    <font>
      <name val="Calibri"/>
      <b val="1"/>
      <color rgb="001A1A1A"/>
      <sz val="10"/>
    </font>
    <font>
      <name val="Calibri"/>
      <b val="1"/>
      <sz val="10"/>
    </font>
    <font>
      <name val="Calibri"/>
      <sz val="10"/>
    </font>
    <font>
      <name val="Calibri"/>
      <color rgb="001A1A1A"/>
      <sz val="10"/>
    </font>
    <font>
      <name val="Calibri"/>
      <i val="1"/>
      <color rgb="005F6B7A"/>
      <sz val="9"/>
    </font>
    <font>
      <name val="Calibri"/>
      <b val="1"/>
      <color rgb="001A1A1A"/>
      <sz val="12"/>
    </font>
    <font>
      <name val="Calibri"/>
      <b val="1"/>
      <color rgb="007F6000"/>
      <sz val="12"/>
    </font>
    <font>
      <name val="Calibri"/>
      <color rgb="001A1A1A"/>
      <sz val="9"/>
    </font>
    <font>
      <name val="Calibri"/>
      <i val="1"/>
      <color rgb="005F6B7A"/>
      <sz val="8.5"/>
    </font>
    <font>
      <name val="Calibri"/>
      <i val="1"/>
      <color rgb="009A3412"/>
      <sz val="8.5"/>
    </font>
    <font>
      <name val="Calibri"/>
      <i val="1"/>
      <color rgb="005F6B7A"/>
      <sz val="10"/>
    </font>
    <font>
      <name val="Calibri"/>
      <color rgb="005F6B7A"/>
      <sz val="8.5"/>
    </font>
    <font>
      <name val="Calibri"/>
      <b val="1"/>
      <i val="1"/>
      <color rgb="005F6B7A"/>
      <sz val="10"/>
    </font>
  </fonts>
  <fills count="9">
    <fill>
      <patternFill/>
    </fill>
    <fill>
      <patternFill patternType="gray125"/>
    </fill>
    <fill>
      <patternFill patternType="solid">
        <fgColor rgb="00E8EEF4"/>
      </patternFill>
    </fill>
    <fill>
      <patternFill patternType="solid">
        <fgColor rgb="0012324F"/>
      </patternFill>
    </fill>
    <fill>
      <patternFill patternType="solid">
        <fgColor rgb="001B5E20"/>
      </patternFill>
    </fill>
    <fill>
      <patternFill patternType="solid">
        <fgColor rgb="000D47A1"/>
      </patternFill>
    </fill>
    <fill>
      <patternFill patternType="solid">
        <fgColor rgb="00B71C1C"/>
      </patternFill>
    </fill>
    <fill>
      <patternFill patternType="solid">
        <fgColor rgb="00FFF2CC"/>
      </patternFill>
    </fill>
    <fill>
      <patternFill patternType="solid">
        <fgColor rgb="00FFF9E6"/>
      </patternFill>
    </fill>
  </fills>
  <borders count="4">
    <border>
      <left/>
      <right/>
      <top/>
      <bottom/>
      <diagonal/>
    </border>
    <border>
      <bottom style="medium">
        <color rgb="0012324F"/>
      </bottom>
    </border>
    <border>
      <left style="thin">
        <color rgb="00C7D2DC"/>
      </left>
      <right style="thin">
        <color rgb="00C7D2DC"/>
      </right>
      <top style="thin">
        <color rgb="00C7D2DC"/>
      </top>
      <bottom style="medium">
        <color rgb="0012324F"/>
      </bottom>
    </border>
    <border>
      <left style="medium">
        <color rgb="00BF8F00"/>
      </left>
      <right style="medium">
        <color rgb="00BF8F00"/>
      </right>
      <top style="medium">
        <color rgb="00BF8F00"/>
      </top>
      <bottom style="medium">
        <color rgb="00BF8F00"/>
      </bottom>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3" borderId="0" pivotButton="0" quotePrefix="0" xfId="0"/>
    <xf numFmtId="0" fontId="0" fillId="3" borderId="0" pivotButton="0" quotePrefix="0" xfId="0"/>
    <xf numFmtId="0" fontId="5" fillId="0" borderId="0" applyAlignment="1" pivotButton="0" quotePrefix="0" xfId="0">
      <alignment horizontal="left" vertical="center" indent="1"/>
    </xf>
    <xf numFmtId="164" fontId="6" fillId="0" borderId="0" applyAlignment="1" pivotButton="0" quotePrefix="0" xfId="0">
      <alignment horizontal="right"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8" fillId="0" borderId="0" applyAlignment="1" pivotButton="0" quotePrefix="0" xfId="0">
      <alignment horizontal="left" vertical="center" indent="1"/>
    </xf>
    <xf numFmtId="164" fontId="9" fillId="0" borderId="0" applyAlignment="1" pivotButton="0" quotePrefix="0" xfId="0">
      <alignment horizontal="right" vertic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165" fontId="6" fillId="0" borderId="0" applyAlignment="1" pivotButton="0" quotePrefix="0" xfId="0">
      <alignment horizontal="right" vertical="center"/>
    </xf>
    <xf numFmtId="0" fontId="7" fillId="6" borderId="0" applyAlignment="1" pivotButton="0" quotePrefix="0" xfId="0">
      <alignment horizontal="center" vertical="center"/>
    </xf>
    <xf numFmtId="164" fontId="12" fillId="0" borderId="0" applyAlignment="1" pivotButton="0" quotePrefix="0" xfId="0">
      <alignment horizontal="right"/>
    </xf>
    <xf numFmtId="165" fontId="13" fillId="0" borderId="0" applyAlignment="1" pivotButton="0" quotePrefix="0" xfId="0">
      <alignment horizontal="right" vertical="center"/>
    </xf>
    <xf numFmtId="166" fontId="13" fillId="0" borderId="0" applyAlignment="1" pivotButton="0" quotePrefix="0" xfId="0">
      <alignment horizontal="right" vertical="center"/>
    </xf>
    <xf numFmtId="0" fontId="14" fillId="0" borderId="0" applyAlignment="1" pivotButton="0" quotePrefix="0" xfId="0">
      <alignment vertical="top" wrapText="1"/>
    </xf>
    <xf numFmtId="0" fontId="13" fillId="0" borderId="0" applyAlignment="1" pivotButton="0" quotePrefix="0" xfId="0">
      <alignment horizontal="left" vertical="center" indent="2"/>
    </xf>
    <xf numFmtId="166" fontId="20" fillId="0" borderId="0" applyAlignment="1" pivotButton="0" quotePrefix="0" xfId="0">
      <alignment horizontal="right"/>
    </xf>
    <xf numFmtId="166" fontId="13" fillId="0" borderId="0" applyAlignment="1" pivotButton="0" quotePrefix="0" xfId="0">
      <alignment horizontal="right"/>
    </xf>
    <xf numFmtId="169" fontId="20" fillId="0" borderId="0" applyAlignment="1" pivotButton="0" quotePrefix="0" xfId="0">
      <alignment horizontal="right"/>
    </xf>
    <xf numFmtId="169" fontId="13" fillId="0" borderId="0" applyAlignment="1" pivotButton="0" quotePrefix="0" xfId="0">
      <alignment horizontal="right"/>
    </xf>
    <xf numFmtId="0" fontId="13" fillId="0" borderId="0" applyAlignment="1" pivotButton="0" quotePrefix="0" xfId="0">
      <alignment horizontal="left" vertical="center" indent="1"/>
    </xf>
    <xf numFmtId="164" fontId="20" fillId="0" borderId="0" applyAlignment="1" pivotButton="0" quotePrefix="0" xfId="0">
      <alignment horizontal="right"/>
    </xf>
    <xf numFmtId="164" fontId="13" fillId="0" borderId="0" applyAlignment="1" pivotButton="0" quotePrefix="0" xfId="0">
      <alignment horizontal="right"/>
    </xf>
    <xf numFmtId="0" fontId="21" fillId="0" borderId="0" applyAlignment="1" pivotButton="0" quotePrefix="0" xfId="0">
      <alignment vertical="top" wrapText="1"/>
    </xf>
    <xf numFmtId="0" fontId="10" fillId="0" borderId="0" applyAlignment="1" pivotButton="0" quotePrefix="0" xfId="0">
      <alignment horizontal="left" vertical="center"/>
    </xf>
    <xf numFmtId="164" fontId="22" fillId="0" borderId="0" applyAlignment="1" pivotButton="0" quotePrefix="0" xfId="0">
      <alignment horizontal="right"/>
    </xf>
    <xf numFmtId="164" fontId="10" fillId="0" borderId="0" applyAlignment="1" pivotButton="0" quotePrefix="0" xfId="0">
      <alignment horizontal="right"/>
    </xf>
    <xf numFmtId="165" fontId="13" fillId="0" borderId="0" applyAlignment="1" pivotButton="0" quotePrefix="0" xfId="0">
      <alignment horizontal="right"/>
    </xf>
    <xf numFmtId="167" fontId="13" fillId="0" borderId="0" applyAlignment="1" pivotButton="0" quotePrefix="0" xfId="0">
      <alignment horizontal="right"/>
    </xf>
    <xf numFmtId="168" fontId="13" fillId="0" borderId="0" applyAlignment="1" pivotButton="0" quotePrefix="0" xfId="0">
      <alignment horizontal="right"/>
    </xf>
    <xf numFmtId="164" fontId="13" fillId="0" borderId="0" applyAlignment="1" pivotButton="0" quotePrefix="0" xfId="0">
      <alignment horizontal="right" vertical="center"/>
    </xf>
    <xf numFmtId="167" fontId="13" fillId="0" borderId="0" applyAlignment="1" pivotButton="0" quotePrefix="0" xfId="0">
      <alignment horizontal="right" vertical="center"/>
    </xf>
    <xf numFmtId="168" fontId="13" fillId="0" borderId="0" applyAlignment="1" pivotButton="0" quotePrefix="0" xfId="0">
      <alignment horizontal="right" vertical="center"/>
    </xf>
    <xf numFmtId="164" fontId="10" fillId="0" borderId="0" applyAlignment="1" pivotButton="0" quotePrefix="0" xfId="0">
      <alignment horizontal="right" vertical="center"/>
    </xf>
    <xf numFmtId="165" fontId="10" fillId="0" borderId="0" applyAlignment="1" pivotButton="0" quotePrefix="0" xfId="0">
      <alignment horizontal="right" vertical="center"/>
    </xf>
    <xf numFmtId="167" fontId="10" fillId="0" borderId="0" applyAlignment="1" pivotButton="0" quotePrefix="0" xfId="0">
      <alignment horizontal="right" vertical="center"/>
    </xf>
    <xf numFmtId="168" fontId="10" fillId="0" borderId="0" applyAlignment="1" pivotButton="0" quotePrefix="0" xfId="0">
      <alignment horizontal="right" vertical="center"/>
    </xf>
    <xf numFmtId="166" fontId="10" fillId="0" borderId="0" applyAlignment="1" pivotButton="0" quotePrefix="0" xfId="0">
      <alignment horizontal="right" vertical="center"/>
    </xf>
    <xf numFmtId="0" fontId="5" fillId="0" borderId="0" applyAlignment="1" pivotButton="0" quotePrefix="0" xfId="0">
      <alignment vertical="top" wrapText="1"/>
    </xf>
    <xf numFmtId="0" fontId="15" fillId="0" borderId="0" applyAlignment="1" pivotButton="0" quotePrefix="0" xfId="0">
      <alignment horizontal="left" vertical="center"/>
    </xf>
    <xf numFmtId="0" fontId="16" fillId="7" borderId="3" applyAlignment="1" pivotButton="0" quotePrefix="0" xfId="0">
      <alignment horizontal="center" vertical="center"/>
    </xf>
    <xf numFmtId="0" fontId="14" fillId="0" borderId="0" applyAlignment="1" pivotButton="0" quotePrefix="0" xfId="0">
      <alignment horizontal="left" vertical="center" indent="1"/>
    </xf>
    <xf numFmtId="1" fontId="14" fillId="0" borderId="0" applyAlignment="1" pivotButton="0" quotePrefix="0" xfId="0">
      <alignment horizontal="center"/>
    </xf>
    <xf numFmtId="165" fontId="3" fillId="8" borderId="0" applyAlignment="1" pivotButton="0" quotePrefix="0" xfId="0">
      <alignment horizontal="right"/>
    </xf>
    <xf numFmtId="0" fontId="17" fillId="0" borderId="0" applyAlignment="1" pivotButton="0" quotePrefix="0" xfId="0">
      <alignment vertical="top" wrapText="1"/>
    </xf>
    <xf numFmtId="167" fontId="6" fillId="0" borderId="0" applyAlignment="1" pivotButton="0" quotePrefix="0" xfId="0">
      <alignment horizontal="right" vertical="center"/>
    </xf>
    <xf numFmtId="168" fontId="6" fillId="0" borderId="0" applyAlignment="1" pivotButton="0" quotePrefix="0" xfId="0">
      <alignment horizontal="right" vertical="center"/>
    </xf>
    <xf numFmtId="0" fontId="18" fillId="0" borderId="0" pivotButton="0" quotePrefix="0" xfId="0"/>
    <xf numFmtId="0" fontId="19" fillId="0" borderId="0" applyAlignment="1" pivotButton="0" quotePrefix="0" xfId="0">
      <alignment vertical="top" wrapText="1"/>
    </xf>
    <xf numFmtId="1" fontId="13" fillId="0" borderId="0" applyAlignment="1" pivotButton="0" quotePrefix="0" xfId="0">
      <alignment horizontal="right" vertical="center"/>
    </xf>
    <xf numFmtId="1" fontId="10" fillId="0" borderId="0" applyAlignment="1" pivotButton="0" quotePrefix="0" xfId="0">
      <alignment horizontal="right" vertical="center"/>
    </xf>
    <xf numFmtId="0" fontId="13" fillId="0" borderId="0" applyAlignment="1" pivotButton="0" quotePrefix="0" xfId="0">
      <alignment horizontal="left" vertical="center"/>
    </xf>
  </cellXfs>
  <cellStyles count="1">
    <cellStyle name="Normal" xfId="0" builtinId="0" hidden="0"/>
  </cellStyles>
  <dxfs count="2">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Operating result by scenario</a:t>
            </a:r>
          </a:p>
        </rich>
      </tx>
    </title>
    <plotArea>
      <lineChart>
        <grouping val="standard"/>
        <ser>
          <idx val="0"/>
          <order val="0"/>
          <tx>
            <v>Downside</v>
          </tx>
          <spPr>
            <a:ln xmlns:a="http://schemas.openxmlformats.org/drawingml/2006/main">
              <a:prstDash val="solid"/>
            </a:ln>
          </spPr>
          <marker>
            <symbol val="none"/>
            <spPr>
              <a:ln xmlns:a="http://schemas.openxmlformats.org/drawingml/2006/main">
                <a:prstDash val="solid"/>
              </a:ln>
            </spPr>
          </marker>
          <cat>
            <numRef>
              <f>'Scenario comparison'!$B$18:$F$18</f>
            </numRef>
          </cat>
          <val>
            <numRef>
              <f>'Scenario comparison'!$B$8:$F$8</f>
            </numRef>
          </val>
        </ser>
        <ser>
          <idx val="1"/>
          <order val="1"/>
          <tx>
            <v>Base</v>
          </tx>
          <spPr>
            <a:ln xmlns:a="http://schemas.openxmlformats.org/drawingml/2006/main">
              <a:prstDash val="solid"/>
            </a:ln>
          </spPr>
          <marker>
            <symbol val="none"/>
            <spPr>
              <a:ln xmlns:a="http://schemas.openxmlformats.org/drawingml/2006/main">
                <a:prstDash val="solid"/>
              </a:ln>
            </spPr>
          </marker>
          <cat>
            <numRef>
              <f>'Scenario comparison'!$B$18:$F$18</f>
            </numRef>
          </cat>
          <val>
            <numRef>
              <f>'Scenario comparison'!$B$24:$F$24</f>
            </numRef>
          </val>
        </ser>
        <ser>
          <idx val="2"/>
          <order val="2"/>
          <tx>
            <v>Upside</v>
          </tx>
          <spPr>
            <a:ln xmlns:a="http://schemas.openxmlformats.org/drawingml/2006/main">
              <a:prstDash val="solid"/>
            </a:ln>
          </spPr>
          <marker>
            <symbol val="none"/>
            <spPr>
              <a:ln xmlns:a="http://schemas.openxmlformats.org/drawingml/2006/main">
                <a:prstDash val="solid"/>
              </a:ln>
            </spPr>
          </marker>
          <cat>
            <numRef>
              <f>'Scenario comparison'!$B$18:$F$18</f>
            </numRef>
          </cat>
          <val>
            <numRef>
              <f>'Scenario comparison'!$B$40:$F$40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quot;M&quot;"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Successful outcomes by scenario</a:t>
            </a:r>
          </a:p>
        </rich>
      </tx>
    </title>
    <plotArea>
      <lineChart>
        <grouping val="standard"/>
        <ser>
          <idx val="0"/>
          <order val="0"/>
          <tx>
            <v>Downside</v>
          </tx>
          <spPr>
            <a:ln xmlns:a="http://schemas.openxmlformats.org/drawingml/2006/main">
              <a:prstDash val="solid"/>
            </a:ln>
          </spPr>
          <marker>
            <symbol val="none"/>
            <spPr>
              <a:ln xmlns:a="http://schemas.openxmlformats.org/drawingml/2006/main">
                <a:prstDash val="solid"/>
              </a:ln>
            </spPr>
          </marker>
          <val>
            <numRef>
              <f>'Scenario comparison'!$B$16:$F$16</f>
            </numRef>
          </val>
        </ser>
        <ser>
          <idx val="1"/>
          <order val="1"/>
          <tx>
            <v>Base</v>
          </tx>
          <spPr>
            <a:ln xmlns:a="http://schemas.openxmlformats.org/drawingml/2006/main">
              <a:prstDash val="solid"/>
            </a:ln>
          </spPr>
          <marker>
            <symbol val="none"/>
            <spPr>
              <a:ln xmlns:a="http://schemas.openxmlformats.org/drawingml/2006/main">
                <a:prstDash val="solid"/>
              </a:ln>
            </spPr>
          </marker>
          <val>
            <numRef>
              <f>'Scenario comparison'!$B$32:$F$32</f>
            </numRef>
          </val>
        </ser>
        <ser>
          <idx val="2"/>
          <order val="2"/>
          <tx>
            <v>Upside</v>
          </tx>
          <spPr>
            <a:ln xmlns:a="http://schemas.openxmlformats.org/drawingml/2006/main">
              <a:prstDash val="solid"/>
            </a:ln>
          </spPr>
          <marker>
            <symbol val="none"/>
            <spPr>
              <a:ln xmlns:a="http://schemas.openxmlformats.org/drawingml/2006/main">
                <a:prstDash val="solid"/>
              </a:ln>
            </spPr>
          </marker>
          <val>
            <numRef>
              <f>'Scenario comparison'!$B$48:$F$48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73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90</row>
      <rowOff>0</rowOff>
    </from>
    <ext cx="648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F6B7A"/>
    <outlinePr summaryBelow="1" summaryRight="1"/>
    <pageSetUpPr/>
  </sheetPr>
  <dimension ref="A1:I41"/>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1" customWidth="1" min="8" max="8"/>
    <col width="54" customWidth="1" min="9" max="9"/>
  </cols>
  <sheetData>
    <row r="1" ht="24" customHeight="1">
      <c r="A1" s="1" t="inlineStr">
        <is>
          <t>Source data</t>
        </is>
      </c>
    </row>
    <row r="2">
      <c r="A2" s="2" t="inlineStr">
        <is>
          <t>Upwardly Global, EIN 94-3346127. Public Form 990 figures and the modelled splits this workbook depends on. Restated here so the file stands alone.</t>
        </is>
      </c>
    </row>
    <row r="3">
      <c r="A3" s="3" t="n"/>
      <c r="B3" s="3" t="n"/>
      <c r="C3" s="3" t="n"/>
      <c r="D3" s="3" t="n"/>
      <c r="E3" s="3" t="n"/>
      <c r="F3" s="3" t="n"/>
      <c r="G3" s="3" t="n"/>
      <c r="H3" s="3" t="n"/>
      <c r="I3" s="3" t="n"/>
    </row>
    <row r="4" ht="30" customHeight="1">
      <c r="A4" s="4" t="inlineStr">
        <is>
          <t>Line</t>
        </is>
      </c>
      <c r="B4" s="5" t="inlineStr">
        <is>
          <t>FY2019</t>
        </is>
      </c>
      <c r="C4" s="5" t="inlineStr">
        <is>
          <t>FY2020</t>
        </is>
      </c>
      <c r="D4" s="5" t="inlineStr">
        <is>
          <t>FY2021</t>
        </is>
      </c>
      <c r="E4" s="5" t="inlineStr">
        <is>
          <t>FY2022</t>
        </is>
      </c>
      <c r="F4" s="5" t="inlineStr">
        <is>
          <t>FY2023</t>
        </is>
      </c>
      <c r="G4" s="5" t="inlineStr">
        <is>
          <t>FY2024</t>
        </is>
      </c>
      <c r="H4" s="5" t="inlineStr">
        <is>
          <t>Tier</t>
        </is>
      </c>
      <c r="I4" s="5" t="inlineStr">
        <is>
          <t>Note</t>
        </is>
      </c>
    </row>
    <row r="5" ht="18" customHeight="1">
      <c r="A5" s="6" t="inlineStr">
        <is>
          <t>Form 990 as filed</t>
        </is>
      </c>
      <c r="B5" s="7" t="n"/>
      <c r="C5" s="7" t="n"/>
      <c r="D5" s="7" t="n"/>
      <c r="E5" s="7" t="n"/>
      <c r="F5" s="7" t="n"/>
      <c r="G5" s="7" t="n"/>
      <c r="H5" s="7" t="n"/>
      <c r="I5" s="7" t="n"/>
    </row>
    <row r="6">
      <c r="A6" s="8" t="inlineStr">
        <is>
          <t>Contributions and grants</t>
        </is>
      </c>
      <c r="B6" s="9" t="n">
        <v>6528091</v>
      </c>
      <c r="C6" s="9" t="n">
        <v>6738370</v>
      </c>
      <c r="D6" s="9" t="n">
        <v>11624463</v>
      </c>
      <c r="E6" s="9" t="n">
        <v>18348946</v>
      </c>
      <c r="F6" s="9" t="n">
        <v>20709887</v>
      </c>
      <c r="G6" s="9" t="n">
        <v>26008174</v>
      </c>
      <c r="H6" s="10" t="inlineStr">
        <is>
          <t>PUBLIC</t>
        </is>
      </c>
    </row>
    <row r="7">
      <c r="A7" s="8" t="inlineStr">
        <is>
          <t>Program service revenue</t>
        </is>
      </c>
      <c r="B7" s="9" t="n">
        <v>353671</v>
      </c>
      <c r="C7" s="9" t="n">
        <v>304509</v>
      </c>
      <c r="D7" s="9" t="n">
        <v>383141</v>
      </c>
      <c r="E7" s="9" t="n">
        <v>1064285</v>
      </c>
      <c r="F7" s="9" t="n">
        <v>1066130</v>
      </c>
      <c r="G7" s="9" t="n">
        <v>1143216</v>
      </c>
      <c r="H7" s="10" t="inlineStr">
        <is>
          <t>PUBLIC</t>
        </is>
      </c>
    </row>
    <row r="8">
      <c r="A8" s="8" t="inlineStr">
        <is>
          <t>Investment and other income</t>
        </is>
      </c>
      <c r="B8" s="9" t="n">
        <v>3602</v>
      </c>
      <c r="C8" s="9" t="n">
        <v>21624</v>
      </c>
      <c r="D8" s="9" t="n">
        <v>237</v>
      </c>
      <c r="E8" s="9" t="n">
        <v>14416</v>
      </c>
      <c r="F8" s="9" t="n">
        <v>672813</v>
      </c>
      <c r="G8" s="9" t="n">
        <v>1429021</v>
      </c>
      <c r="H8" s="10" t="inlineStr">
        <is>
          <t>PUBLIC</t>
        </is>
      </c>
    </row>
    <row r="9">
      <c r="A9" s="8" t="inlineStr">
        <is>
          <t>Less: fundraising event costs and asset-sale losses</t>
        </is>
      </c>
      <c r="B9" s="9" t="n">
        <v>-135303</v>
      </c>
      <c r="C9" s="9" t="n">
        <v>-48199</v>
      </c>
      <c r="D9" s="9" t="n">
        <v>-34318</v>
      </c>
      <c r="E9" s="9" t="n">
        <v>-121695</v>
      </c>
      <c r="F9" s="9" t="n">
        <v>-57789</v>
      </c>
      <c r="G9" s="9" t="n">
        <v>0</v>
      </c>
      <c r="H9" s="11" t="inlineStr">
        <is>
          <t>DERIVED</t>
        </is>
      </c>
    </row>
    <row r="10">
      <c r="A10" s="12" t="inlineStr">
        <is>
          <t>Total revenue</t>
        </is>
      </c>
      <c r="B10" s="13" t="n">
        <v>6750061</v>
      </c>
      <c r="C10" s="13" t="n">
        <v>7016304</v>
      </c>
      <c r="D10" s="13" t="n">
        <v>11973523</v>
      </c>
      <c r="E10" s="13" t="n">
        <v>19305952</v>
      </c>
      <c r="F10" s="13" t="n">
        <v>22391041</v>
      </c>
      <c r="G10" s="13" t="n">
        <v>28580411</v>
      </c>
      <c r="H10" s="10" t="inlineStr">
        <is>
          <t>PUBLIC</t>
        </is>
      </c>
    </row>
    <row r="11">
      <c r="A11" s="12" t="inlineStr">
        <is>
          <t>Total functional expenses</t>
        </is>
      </c>
      <c r="B11" s="13" t="n">
        <v>5531091</v>
      </c>
      <c r="C11" s="13" t="n">
        <v>5670504</v>
      </c>
      <c r="D11" s="13" t="n">
        <v>6893690</v>
      </c>
      <c r="E11" s="13" t="n">
        <v>9316393</v>
      </c>
      <c r="F11" s="13" t="n">
        <v>13659379</v>
      </c>
      <c r="G11" s="13" t="n">
        <v>18275646</v>
      </c>
      <c r="H11" s="10" t="inlineStr">
        <is>
          <t>PUBLIC</t>
        </is>
      </c>
    </row>
    <row r="12">
      <c r="A12" s="8" t="inlineStr">
        <is>
          <t>Officer compensation</t>
        </is>
      </c>
      <c r="B12" s="9" t="n">
        <v>336307</v>
      </c>
      <c r="C12" s="9" t="n">
        <v>348404</v>
      </c>
      <c r="D12" s="9" t="n">
        <v>537859</v>
      </c>
      <c r="E12" s="9" t="n">
        <v>642262</v>
      </c>
      <c r="F12" s="9" t="n">
        <v>502983</v>
      </c>
      <c r="G12" s="9" t="n">
        <v>1026038</v>
      </c>
      <c r="H12" s="10" t="inlineStr">
        <is>
          <t>PUBLIC</t>
        </is>
      </c>
    </row>
    <row r="13">
      <c r="A13" s="8" t="inlineStr">
        <is>
          <t>Other salaries and wages</t>
        </is>
      </c>
      <c r="B13" s="9" t="n">
        <v>3257098</v>
      </c>
      <c r="C13" s="9" t="n">
        <v>3406913</v>
      </c>
      <c r="D13" s="9" t="n">
        <v>3755210</v>
      </c>
      <c r="E13" s="9" t="n">
        <v>5321071</v>
      </c>
      <c r="F13" s="9" t="n">
        <v>7253251</v>
      </c>
      <c r="G13" s="9" t="n">
        <v>9234306</v>
      </c>
      <c r="H13" s="10" t="inlineStr">
        <is>
          <t>PUBLIC</t>
        </is>
      </c>
    </row>
    <row r="14">
      <c r="A14" s="8" t="inlineStr">
        <is>
          <t>Payroll taxes</t>
        </is>
      </c>
      <c r="B14" s="9" t="n">
        <v>283482</v>
      </c>
      <c r="C14" s="9" t="n">
        <v>290730</v>
      </c>
      <c r="D14" s="9" t="n">
        <v>339149</v>
      </c>
      <c r="E14" s="9" t="n">
        <v>454590</v>
      </c>
      <c r="F14" s="9" t="n">
        <v>606465</v>
      </c>
      <c r="G14" s="9" t="n">
        <v>800307</v>
      </c>
      <c r="H14" s="10" t="inlineStr">
        <is>
          <t>PUBLIC</t>
        </is>
      </c>
    </row>
    <row r="15">
      <c r="A15" s="8" t="inlineStr">
        <is>
          <t>Total assets</t>
        </is>
      </c>
      <c r="B15" s="9" t="n">
        <v>4915534</v>
      </c>
      <c r="C15" s="9" t="n">
        <v>7157462</v>
      </c>
      <c r="D15" s="9" t="n">
        <v>12593796</v>
      </c>
      <c r="E15" s="9" t="n">
        <v>23406064</v>
      </c>
      <c r="F15" s="9" t="n">
        <v>31782416</v>
      </c>
      <c r="G15" s="9" t="n">
        <v>42583791</v>
      </c>
      <c r="H15" s="10" t="inlineStr">
        <is>
          <t>PUBLIC</t>
        </is>
      </c>
    </row>
    <row r="16">
      <c r="A16" s="8" t="inlineStr">
        <is>
          <t>Total liabilities</t>
        </is>
      </c>
      <c r="B16" s="9" t="n">
        <v>461151</v>
      </c>
      <c r="C16" s="9" t="n">
        <v>1357279</v>
      </c>
      <c r="D16" s="9" t="n">
        <v>1713780</v>
      </c>
      <c r="E16" s="9" t="n">
        <v>2536489</v>
      </c>
      <c r="F16" s="9" t="n">
        <v>2181179</v>
      </c>
      <c r="G16" s="9" t="n">
        <v>2676737</v>
      </c>
      <c r="H16" s="10" t="inlineStr">
        <is>
          <t>PUBLIC</t>
        </is>
      </c>
    </row>
    <row r="17">
      <c r="A17" s="14" t="inlineStr">
        <is>
          <t>Net assets</t>
        </is>
      </c>
      <c r="B17" s="15">
        <f>B15-B16</f>
        <v/>
      </c>
      <c r="C17" s="15">
        <f>C15-C16</f>
        <v/>
      </c>
      <c r="D17" s="15">
        <f>D15-D16</f>
        <v/>
      </c>
      <c r="E17" s="15">
        <f>E15-E16</f>
        <v/>
      </c>
      <c r="F17" s="15">
        <f>F15-F16</f>
        <v/>
      </c>
      <c r="G17" s="15">
        <f>G15-G16</f>
        <v/>
      </c>
      <c r="H17" s="11" t="inlineStr">
        <is>
          <t>DERIVED</t>
        </is>
      </c>
    </row>
    <row r="19" ht="18" customHeight="1">
      <c r="A19" s="6" t="inlineStr">
        <is>
          <t>Modelled functional expense split</t>
        </is>
      </c>
      <c r="B19" s="7" t="n"/>
      <c r="C19" s="7" t="n"/>
      <c r="D19" s="7" t="n"/>
      <c r="E19" s="7" t="n"/>
      <c r="F19" s="7" t="n"/>
      <c r="G19" s="7" t="n"/>
      <c r="H19" s="7" t="n"/>
      <c r="I19" s="7" t="n"/>
    </row>
    <row r="20">
      <c r="A20" s="8" t="inlineStr">
        <is>
          <t>Program services share</t>
        </is>
      </c>
      <c r="B20" s="16" t="n">
        <v>0.762</v>
      </c>
      <c r="C20" s="16" t="n">
        <v>0.768</v>
      </c>
      <c r="D20" s="16" t="n">
        <v>0.774</v>
      </c>
      <c r="E20" s="16" t="n">
        <v>0.78</v>
      </c>
      <c r="F20" s="16" t="n">
        <v>0.783</v>
      </c>
      <c r="G20" s="16" t="n">
        <v>0.785</v>
      </c>
      <c r="H20" s="17" t="inlineStr">
        <is>
          <t>SYNTHETIC</t>
        </is>
      </c>
    </row>
    <row r="21">
      <c r="A21" s="8" t="inlineStr">
        <is>
          <t>Management and general share</t>
        </is>
      </c>
      <c r="B21" s="16" t="n">
        <v>0.14</v>
      </c>
      <c r="C21" s="16" t="n">
        <v>0.137</v>
      </c>
      <c r="D21" s="16" t="n">
        <v>0.134</v>
      </c>
      <c r="E21" s="16" t="n">
        <v>0.129</v>
      </c>
      <c r="F21" s="16" t="n">
        <v>0.124</v>
      </c>
      <c r="G21" s="16" t="n">
        <v>0.12</v>
      </c>
      <c r="H21" s="17" t="inlineStr">
        <is>
          <t>SYNTHETIC</t>
        </is>
      </c>
    </row>
    <row r="22">
      <c r="A22" s="8" t="inlineStr">
        <is>
          <t>Fundraising share</t>
        </is>
      </c>
      <c r="B22" s="16" t="n">
        <v>0.098</v>
      </c>
      <c r="C22" s="16" t="n">
        <v>0.095</v>
      </c>
      <c r="D22" s="16" t="n">
        <v>0.092</v>
      </c>
      <c r="E22" s="16" t="n">
        <v>0.091</v>
      </c>
      <c r="F22" s="16" t="n">
        <v>0.093</v>
      </c>
      <c r="G22" s="16" t="n">
        <v>0.095</v>
      </c>
      <c r="H22" s="17" t="inlineStr">
        <is>
          <t>SYNTHETIC</t>
        </is>
      </c>
    </row>
    <row r="24" ht="18" customHeight="1">
      <c r="A24" s="6" t="inlineStr">
        <is>
          <t>Derived expense lines</t>
        </is>
      </c>
      <c r="B24" s="7" t="n"/>
      <c r="C24" s="7" t="n"/>
      <c r="D24" s="7" t="n"/>
      <c r="E24" s="7" t="n"/>
      <c r="F24" s="7" t="n"/>
      <c r="G24" s="7" t="n"/>
      <c r="H24" s="7" t="n"/>
      <c r="I24" s="7" t="n"/>
    </row>
    <row r="25">
      <c r="A25" s="8" t="inlineStr">
        <is>
          <t>Program services</t>
        </is>
      </c>
      <c r="B25" s="18">
        <f>B11*B20</f>
        <v/>
      </c>
      <c r="C25" s="18">
        <f>C11*C20</f>
        <v/>
      </c>
      <c r="D25" s="18">
        <f>D11*D20</f>
        <v/>
      </c>
      <c r="E25" s="18">
        <f>E11*E20</f>
        <v/>
      </c>
      <c r="F25" s="18">
        <f>F11*F20</f>
        <v/>
      </c>
      <c r="G25" s="18">
        <f>G11*G20</f>
        <v/>
      </c>
    </row>
    <row r="26">
      <c r="A26" s="8" t="inlineStr">
        <is>
          <t>Management and general</t>
        </is>
      </c>
      <c r="B26" s="18">
        <f>B11*B21</f>
        <v/>
      </c>
      <c r="C26" s="18">
        <f>C11*C21</f>
        <v/>
      </c>
      <c r="D26" s="18">
        <f>D11*D21</f>
        <v/>
      </c>
      <c r="E26" s="18">
        <f>E11*E21</f>
        <v/>
      </c>
      <c r="F26" s="18">
        <f>F11*F21</f>
        <v/>
      </c>
      <c r="G26" s="18">
        <f>G11*G21</f>
        <v/>
      </c>
    </row>
    <row r="27">
      <c r="A27" s="8" t="inlineStr">
        <is>
          <t>Fundraising</t>
        </is>
      </c>
      <c r="B27" s="18">
        <f>B11*B22</f>
        <v/>
      </c>
      <c r="C27" s="18">
        <f>C11*C22</f>
        <v/>
      </c>
      <c r="D27" s="18">
        <f>D11*D22</f>
        <v/>
      </c>
      <c r="E27" s="18">
        <f>E11*E22</f>
        <v/>
      </c>
      <c r="F27" s="18">
        <f>F11*F22</f>
        <v/>
      </c>
      <c r="G27" s="18">
        <f>G11*G22</f>
        <v/>
      </c>
    </row>
    <row r="29" ht="18" customHeight="1">
      <c r="A29" s="6" t="inlineStr">
        <is>
          <t>Interpolation anchors (published observations)</t>
        </is>
      </c>
      <c r="B29" s="7" t="n"/>
      <c r="C29" s="7" t="n"/>
      <c r="D29" s="7" t="n"/>
      <c r="E29" s="7" t="n"/>
      <c r="F29" s="7" t="n"/>
      <c r="G29" s="7" t="n"/>
      <c r="H29" s="7" t="n"/>
      <c r="I29" s="7" t="n"/>
    </row>
    <row r="30">
      <c r="A30" s="8" t="inlineStr">
        <is>
          <t>2022 participants</t>
        </is>
      </c>
      <c r="B30" s="9" t="n">
        <v>7041</v>
      </c>
      <c r="H30" s="10" t="inlineStr">
        <is>
          <t>PUBLIC</t>
        </is>
      </c>
    </row>
    <row r="31">
      <c r="A31" s="8" t="inlineStr">
        <is>
          <t>2025 participants</t>
        </is>
      </c>
      <c r="B31" s="9" t="n">
        <v>13350</v>
      </c>
      <c r="H31" s="10" t="inlineStr">
        <is>
          <t>PUBLIC</t>
        </is>
      </c>
    </row>
    <row r="32">
      <c r="A32" s="8" t="inlineStr">
        <is>
          <t>Participant growth per year</t>
        </is>
      </c>
      <c r="B32" s="19">
        <f>(B31/B30)^(1/3)-1</f>
        <v/>
      </c>
      <c r="H32" s="11" t="inlineStr">
        <is>
          <t>DERIVED</t>
        </is>
      </c>
    </row>
    <row r="33">
      <c r="A33" s="8" t="inlineStr">
        <is>
          <t>2022 placements</t>
        </is>
      </c>
      <c r="B33" s="9" t="n">
        <v>1116</v>
      </c>
      <c r="H33" s="10" t="inlineStr">
        <is>
          <t>PUBLIC</t>
        </is>
      </c>
    </row>
    <row r="34">
      <c r="A34" s="8" t="inlineStr">
        <is>
          <t>2025 placements</t>
        </is>
      </c>
      <c r="B34" s="9" t="n">
        <v>1730</v>
      </c>
      <c r="H34" s="10" t="inlineStr">
        <is>
          <t>PUBLIC</t>
        </is>
      </c>
    </row>
    <row r="35">
      <c r="A35" s="8" t="inlineStr">
        <is>
          <t>Placement growth per year</t>
        </is>
      </c>
      <c r="B35" s="19">
        <f>(B34/B33)^(1/3)-1</f>
        <v/>
      </c>
      <c r="H35" s="11" t="inlineStr">
        <is>
          <t>DERIVED</t>
        </is>
      </c>
    </row>
    <row r="37" ht="18" customHeight="1">
      <c r="A37" s="6" t="inlineStr">
        <is>
          <t>Program volume</t>
        </is>
      </c>
      <c r="B37" s="7" t="n"/>
      <c r="C37" s="7" t="n"/>
      <c r="D37" s="7" t="n"/>
      <c r="E37" s="7" t="n"/>
      <c r="F37" s="7" t="n"/>
      <c r="G37" s="7" t="n"/>
      <c r="H37" s="7" t="n"/>
      <c r="I37" s="7" t="n"/>
    </row>
    <row r="38">
      <c r="A38" s="8" t="inlineStr">
        <is>
          <t>Participants served</t>
        </is>
      </c>
      <c r="B38" s="20">
        <f>$B$30*(1+$B$32)^(2019-2022)</f>
        <v/>
      </c>
      <c r="C38" s="20">
        <f>$B$30*(1+$B$32)^(2020-2022)</f>
        <v/>
      </c>
      <c r="D38" s="20">
        <f>$B$30*(1+$B$32)^(2021-2022)</f>
        <v/>
      </c>
      <c r="E38" s="20">
        <f>$B$30*(1+$B$32)^(2022-2022)</f>
        <v/>
      </c>
      <c r="F38" s="20">
        <f>$B$30*(1+$B$32)^(2023-2022)</f>
        <v/>
      </c>
      <c r="G38" s="20">
        <f>$B$30*(1+$B$32)^(2024-2022)</f>
        <v/>
      </c>
      <c r="H38" s="11" t="inlineStr">
        <is>
          <t>DERIVED</t>
        </is>
      </c>
    </row>
    <row r="39">
      <c r="A39" s="8" t="inlineStr">
        <is>
          <t>Successful outcomes</t>
        </is>
      </c>
      <c r="B39" s="20">
        <f>$B$33*(1+$B$35)^(2019-2022)</f>
        <v/>
      </c>
      <c r="C39" s="20">
        <f>$B$33*(1+$B$35)^(2020-2022)</f>
        <v/>
      </c>
      <c r="D39" s="20">
        <f>$B$33*(1+$B$35)^(2021-2022)</f>
        <v/>
      </c>
      <c r="E39" s="20">
        <f>$B$33*(1+$B$35)^(2022-2022)</f>
        <v/>
      </c>
      <c r="F39" s="20">
        <f>$B$33*(1+$B$35)^(2023-2022)</f>
        <v/>
      </c>
      <c r="G39" s="20">
        <f>$B$33*(1+$B$35)^(2024-2022)</f>
        <v/>
      </c>
      <c r="H39" s="11" t="inlineStr">
        <is>
          <t>DERIVED</t>
        </is>
      </c>
    </row>
    <row r="41" ht="39" customHeight="1">
      <c r="A41" s="21" t="inlineStr">
        <is>
          <t>Participant and placement counts are published for 2022 and 2025 only. Other years are interpolated at constant growth between those two observations, which fixes the series with no free parameters. The back-cast to FY2019 through FY2021 is the weakest link and should be read as illustrative.</t>
        </is>
      </c>
    </row>
  </sheetData>
  <mergeCells count="1">
    <mergeCell ref="A41:I41"/>
  </mergeCells>
  <pageMargins left="0.75" right="0.75" top="1" bottom="1" header="0.5" footer="0.5"/>
</worksheet>
</file>

<file path=xl/worksheets/sheet2.xml><?xml version="1.0" encoding="utf-8"?>
<worksheet xmlns="http://schemas.openxmlformats.org/spreadsheetml/2006/main">
  <sheetPr>
    <tabColor rgb="0012324F"/>
    <outlinePr summaryBelow="1" summaryRight="1"/>
    <pageSetUpPr/>
  </sheetPr>
  <dimension ref="A1:I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4" customWidth="1" min="8" max="8"/>
    <col width="58" customWidth="1" min="9" max="9"/>
  </cols>
  <sheetData>
    <row r="1" ht="24" customHeight="1">
      <c r="A1" s="1" t="inlineStr">
        <is>
          <t>Five-year scenario model</t>
        </is>
      </c>
    </row>
    <row r="2">
      <c r="A2" s="2" t="inlineStr">
        <is>
          <t>Runs on whichever case is selected on 'Scenario switch'. Column B is the FY2024 actual starting point.</t>
        </is>
      </c>
    </row>
    <row r="3">
      <c r="A3" s="3" t="n"/>
      <c r="B3" s="3" t="inlineStr"/>
      <c r="C3" s="3" t="n"/>
      <c r="D3" s="3" t="n"/>
      <c r="E3" s="3" t="n"/>
      <c r="F3" s="3" t="n"/>
      <c r="G3" s="3" t="n"/>
      <c r="H3" s="3" t="n"/>
      <c r="I3" s="3" t="n"/>
    </row>
    <row r="4" ht="30" customHeight="1">
      <c r="A4" s="4" t="inlineStr">
        <is>
          <t>Line</t>
        </is>
      </c>
      <c r="B4" s="5" t="inlineStr">
        <is>
          <t>FY2024 A</t>
        </is>
      </c>
      <c r="C4" s="5" t="inlineStr">
        <is>
          <t>FY2025 F</t>
        </is>
      </c>
      <c r="D4" s="5" t="inlineStr">
        <is>
          <t>FY2026 F</t>
        </is>
      </c>
      <c r="E4" s="5" t="inlineStr">
        <is>
          <t>FY2027 F</t>
        </is>
      </c>
      <c r="F4" s="5" t="inlineStr">
        <is>
          <t>FY2028 F</t>
        </is>
      </c>
      <c r="G4" s="5" t="inlineStr">
        <is>
          <t>FY2029 F</t>
        </is>
      </c>
      <c r="H4" s="5" t="inlineStr"/>
      <c r="I4" s="5" t="inlineStr">
        <is>
          <t>Note</t>
        </is>
      </c>
    </row>
    <row r="5" ht="18" customHeight="1">
      <c r="A5" s="6" t="inlineStr">
        <is>
          <t>Revenue: donor count x average gift</t>
        </is>
      </c>
      <c r="B5" s="7" t="n"/>
      <c r="C5" s="7" t="n"/>
      <c r="D5" s="7" t="n"/>
      <c r="E5" s="7" t="n"/>
      <c r="F5" s="7" t="n"/>
      <c r="G5" s="7" t="n"/>
      <c r="H5" s="7" t="n"/>
      <c r="I5" s="7" t="n"/>
    </row>
    <row r="6">
      <c r="A6" s="22" t="inlineStr">
        <is>
          <t>Individual donations: donors</t>
        </is>
      </c>
      <c r="B6" s="23" t="n">
        <v>8420</v>
      </c>
      <c r="C6" s="24">
        <f>B6*(1+'Scenario switch'!$E$9)/(1+'Scenario switch'!$B$33)</f>
        <v/>
      </c>
      <c r="D6" s="24">
        <f>C6*(1+'Scenario switch'!$E$9)/(1+'Scenario switch'!$B$33)</f>
        <v/>
      </c>
      <c r="E6" s="24">
        <f>D6*(1+'Scenario switch'!$E$9)/(1+'Scenario switch'!$B$33)</f>
        <v/>
      </c>
      <c r="F6" s="24">
        <f>E6*(1+'Scenario switch'!$E$9)/(1+'Scenario switch'!$B$33)</f>
        <v/>
      </c>
      <c r="G6" s="24">
        <f>F6*(1+'Scenario switch'!$E$9)/(1+'Scenario switch'!$B$33)</f>
        <v/>
      </c>
    </row>
    <row r="7">
      <c r="A7" s="22" t="inlineStr">
        <is>
          <t>Corporate donations: donors</t>
        </is>
      </c>
      <c r="B7" s="23" t="n">
        <v>214</v>
      </c>
      <c r="C7" s="24">
        <f>B7*(1+'Scenario switch'!$E$10)/(1+'Scenario switch'!$B$33)</f>
        <v/>
      </c>
      <c r="D7" s="24">
        <f>C7*(1+'Scenario switch'!$E$10)/(1+'Scenario switch'!$B$33)</f>
        <v/>
      </c>
      <c r="E7" s="24">
        <f>D7*(1+'Scenario switch'!$E$10)/(1+'Scenario switch'!$B$33)</f>
        <v/>
      </c>
      <c r="F7" s="24">
        <f>E7*(1+'Scenario switch'!$E$10)/(1+'Scenario switch'!$B$33)</f>
        <v/>
      </c>
      <c r="G7" s="24">
        <f>F7*(1+'Scenario switch'!$E$10)/(1+'Scenario switch'!$B$33)</f>
        <v/>
      </c>
    </row>
    <row r="8">
      <c r="A8" s="22" t="inlineStr">
        <is>
          <t>Foundation grants: donors</t>
        </is>
      </c>
      <c r="B8" s="23" t="n">
        <v>63</v>
      </c>
      <c r="C8" s="24">
        <f>B8*(1+'Scenario switch'!$E$11)/(1+'Scenario switch'!$B$33)</f>
        <v/>
      </c>
      <c r="D8" s="24">
        <f>C8*(1+'Scenario switch'!$E$11)/(1+'Scenario switch'!$B$33)</f>
        <v/>
      </c>
      <c r="E8" s="24">
        <f>D8*(1+'Scenario switch'!$E$11)/(1+'Scenario switch'!$B$33)</f>
        <v/>
      </c>
      <c r="F8" s="24">
        <f>E8*(1+'Scenario switch'!$E$11)/(1+'Scenario switch'!$B$33)</f>
        <v/>
      </c>
      <c r="G8" s="24">
        <f>F8*(1+'Scenario switch'!$E$11)/(1+'Scenario switch'!$B$33)</f>
        <v/>
      </c>
    </row>
    <row r="9">
      <c r="A9" s="22" t="inlineStr">
        <is>
          <t>Government funding: donors</t>
        </is>
      </c>
      <c r="B9" s="23" t="n">
        <v>11</v>
      </c>
      <c r="C9" s="24">
        <f>B9*(1+'Scenario switch'!$E$12)/(1+'Scenario switch'!$B$33)</f>
        <v/>
      </c>
      <c r="D9" s="24">
        <f>C9*(1+'Scenario switch'!$E$12)/(1+'Scenario switch'!$B$33)</f>
        <v/>
      </c>
      <c r="E9" s="24">
        <f>D9*(1+'Scenario switch'!$E$12)/(1+'Scenario switch'!$B$33)</f>
        <v/>
      </c>
      <c r="F9" s="24">
        <f>E9*(1+'Scenario switch'!$E$12)/(1+'Scenario switch'!$B$33)</f>
        <v/>
      </c>
      <c r="G9" s="24">
        <f>F9*(1+'Scenario switch'!$E$12)/(1+'Scenario switch'!$B$33)</f>
        <v/>
      </c>
    </row>
    <row r="10">
      <c r="A10" s="22" t="inlineStr">
        <is>
          <t>Fundraising events: donors</t>
        </is>
      </c>
      <c r="B10" s="23" t="n">
        <v>1640</v>
      </c>
      <c r="C10" s="24">
        <f>B10*(1+'Scenario switch'!$E$13)/(1+'Scenario switch'!$B$33)</f>
        <v/>
      </c>
      <c r="D10" s="24">
        <f>C10*(1+'Scenario switch'!$E$13)/(1+'Scenario switch'!$B$33)</f>
        <v/>
      </c>
      <c r="E10" s="24">
        <f>D10*(1+'Scenario switch'!$E$13)/(1+'Scenario switch'!$B$33)</f>
        <v/>
      </c>
      <c r="F10" s="24">
        <f>E10*(1+'Scenario switch'!$E$13)/(1+'Scenario switch'!$B$33)</f>
        <v/>
      </c>
      <c r="G10" s="24">
        <f>F10*(1+'Scenario switch'!$E$13)/(1+'Scenario switch'!$B$33)</f>
        <v/>
      </c>
    </row>
    <row r="11">
      <c r="A11" s="22" t="inlineStr">
        <is>
          <t>Individual donations: average gift</t>
        </is>
      </c>
      <c r="B11" s="25" t="n">
        <v>370.6628</v>
      </c>
      <c r="C11" s="26">
        <f>B11*(1+'Scenario switch'!$B$33)</f>
        <v/>
      </c>
      <c r="D11" s="26">
        <f>C11*(1+'Scenario switch'!$B$33)</f>
        <v/>
      </c>
      <c r="E11" s="26">
        <f>D11*(1+'Scenario switch'!$B$33)</f>
        <v/>
      </c>
      <c r="F11" s="26">
        <f>E11*(1+'Scenario switch'!$B$33)</f>
        <v/>
      </c>
      <c r="G11" s="26">
        <f>F11*(1+'Scenario switch'!$B$33)</f>
        <v/>
      </c>
    </row>
    <row r="12">
      <c r="A12" s="22" t="inlineStr">
        <is>
          <t>Corporate donations: average gift</t>
        </is>
      </c>
      <c r="B12" s="25" t="n">
        <v>25522.0399</v>
      </c>
      <c r="C12" s="26">
        <f>B12*(1+'Scenario switch'!$B$33)</f>
        <v/>
      </c>
      <c r="D12" s="26">
        <f>C12*(1+'Scenario switch'!$B$33)</f>
        <v/>
      </c>
      <c r="E12" s="26">
        <f>D12*(1+'Scenario switch'!$B$33)</f>
        <v/>
      </c>
      <c r="F12" s="26">
        <f>E12*(1+'Scenario switch'!$B$33)</f>
        <v/>
      </c>
      <c r="G12" s="26">
        <f>F12*(1+'Scenario switch'!$B$33)</f>
        <v/>
      </c>
    </row>
    <row r="13">
      <c r="A13" s="22" t="inlineStr">
        <is>
          <t>Foundation grants: average gift</t>
        </is>
      </c>
      <c r="B13" s="25" t="n">
        <v>181644.3898</v>
      </c>
      <c r="C13" s="26">
        <f>B13*(1+'Scenario switch'!$B$33)</f>
        <v/>
      </c>
      <c r="D13" s="26">
        <f>C13*(1+'Scenario switch'!$B$33)</f>
        <v/>
      </c>
      <c r="E13" s="26">
        <f>D13*(1+'Scenario switch'!$B$33)</f>
        <v/>
      </c>
      <c r="F13" s="26">
        <f>E13*(1+'Scenario switch'!$B$33)</f>
        <v/>
      </c>
      <c r="G13" s="26">
        <f>F13*(1+'Scenario switch'!$B$33)</f>
        <v/>
      </c>
    </row>
    <row r="14">
      <c r="A14" s="22" t="inlineStr">
        <is>
          <t>Government funding: average gift</t>
        </is>
      </c>
      <c r="B14" s="25" t="n">
        <v>449232.0964</v>
      </c>
      <c r="C14" s="26">
        <f>B14*(1+'Scenario switch'!$B$33)</f>
        <v/>
      </c>
      <c r="D14" s="26">
        <f>C14*(1+'Scenario switch'!$B$33)</f>
        <v/>
      </c>
      <c r="E14" s="26">
        <f>D14*(1+'Scenario switch'!$B$33)</f>
        <v/>
      </c>
      <c r="F14" s="26">
        <f>E14*(1+'Scenario switch'!$B$33)</f>
        <v/>
      </c>
      <c r="G14" s="26">
        <f>F14*(1+'Scenario switch'!$B$33)</f>
        <v/>
      </c>
    </row>
    <row r="15">
      <c r="A15" s="22" t="inlineStr">
        <is>
          <t>Fundraising events: average gift</t>
        </is>
      </c>
      <c r="B15" s="25" t="n">
        <v>634.3457</v>
      </c>
      <c r="C15" s="26">
        <f>B15*(1+'Scenario switch'!$B$33)</f>
        <v/>
      </c>
      <c r="D15" s="26">
        <f>C15*(1+'Scenario switch'!$B$33)</f>
        <v/>
      </c>
      <c r="E15" s="26">
        <f>D15*(1+'Scenario switch'!$B$33)</f>
        <v/>
      </c>
      <c r="F15" s="26">
        <f>E15*(1+'Scenario switch'!$B$33)</f>
        <v/>
      </c>
      <c r="G15" s="26">
        <f>F15*(1+'Scenario switch'!$B$33)</f>
        <v/>
      </c>
    </row>
    <row r="17" ht="26" customHeight="1">
      <c r="A17" s="27" t="inlineStr">
        <is>
          <t>Individual donations</t>
        </is>
      </c>
      <c r="B17" s="28">
        <f>'Scenario switch'!B28*0.12</f>
        <v/>
      </c>
      <c r="C17" s="29">
        <f>C6*C11*(1-'Scenario switch'!$B$41)</f>
        <v/>
      </c>
      <c r="D17" s="29">
        <f>D6*D11*(1-'Scenario switch'!$B$41)</f>
        <v/>
      </c>
      <c r="E17" s="29">
        <f>E6*E11*(1-'Scenario switch'!$B$41)</f>
        <v/>
      </c>
      <c r="F17" s="29">
        <f>F6*F11*(1-'Scenario switch'!$B$41)</f>
        <v/>
      </c>
      <c r="G17" s="29">
        <f>G6*G11*(1-'Scenario switch'!$B$41)</f>
        <v/>
      </c>
      <c r="I17" s="30" t="inlineStr">
        <is>
          <t>Donor count times average gift, less the funding shock.</t>
        </is>
      </c>
    </row>
    <row r="18">
      <c r="A18" s="27" t="inlineStr">
        <is>
          <t>Corporate donations</t>
        </is>
      </c>
      <c r="B18" s="28">
        <f>'Scenario switch'!B28*0.21</f>
        <v/>
      </c>
      <c r="C18" s="29">
        <f>C7*C12*(1-'Scenario switch'!$B$41)</f>
        <v/>
      </c>
      <c r="D18" s="29">
        <f>D7*D12*(1-'Scenario switch'!$B$41)</f>
        <v/>
      </c>
      <c r="E18" s="29">
        <f>E7*E12*(1-'Scenario switch'!$B$41)</f>
        <v/>
      </c>
      <c r="F18" s="29">
        <f>F7*F12*(1-'Scenario switch'!$B$41)</f>
        <v/>
      </c>
      <c r="G18" s="29">
        <f>G7*G12*(1-'Scenario switch'!$B$41)</f>
        <v/>
      </c>
    </row>
    <row r="19">
      <c r="A19" s="27" t="inlineStr">
        <is>
          <t>Foundation grants</t>
        </is>
      </c>
      <c r="B19" s="28">
        <f>'Scenario switch'!B28*0.44</f>
        <v/>
      </c>
      <c r="C19" s="29">
        <f>C8*C13*(1-'Scenario switch'!$B$41)</f>
        <v/>
      </c>
      <c r="D19" s="29">
        <f>D8*D13*(1-'Scenario switch'!$B$41)</f>
        <v/>
      </c>
      <c r="E19" s="29">
        <f>E8*E13*(1-'Scenario switch'!$B$41)</f>
        <v/>
      </c>
      <c r="F19" s="29">
        <f>F8*F13*(1-'Scenario switch'!$B$41)</f>
        <v/>
      </c>
      <c r="G19" s="29">
        <f>G8*G13*(1-'Scenario switch'!$B$41)</f>
        <v/>
      </c>
    </row>
    <row r="20">
      <c r="A20" s="27" t="inlineStr">
        <is>
          <t>Government funding</t>
        </is>
      </c>
      <c r="B20" s="28">
        <f>'Scenario switch'!B28*0.19</f>
        <v/>
      </c>
      <c r="C20" s="29">
        <f>C9*C14*(1-'Scenario switch'!$B$41)</f>
        <v/>
      </c>
      <c r="D20" s="29">
        <f>D9*D14*(1-'Scenario switch'!$B$41)</f>
        <v/>
      </c>
      <c r="E20" s="29">
        <f>E9*E14*(1-'Scenario switch'!$B$41)</f>
        <v/>
      </c>
      <c r="F20" s="29">
        <f>F9*F14*(1-'Scenario switch'!$B$41)</f>
        <v/>
      </c>
      <c r="G20" s="29">
        <f>G9*G14*(1-'Scenario switch'!$B$41)</f>
        <v/>
      </c>
    </row>
    <row r="21">
      <c r="A21" s="27" t="inlineStr">
        <is>
          <t>Fundraising events</t>
        </is>
      </c>
      <c r="B21" s="28">
        <f>'Scenario switch'!B28*0.04</f>
        <v/>
      </c>
      <c r="C21" s="29">
        <f>C10*C15*(1-'Scenario switch'!$B$41)</f>
        <v/>
      </c>
      <c r="D21" s="29">
        <f>D10*D15*(1-'Scenario switch'!$B$41)</f>
        <v/>
      </c>
      <c r="E21" s="29">
        <f>E10*E15*(1-'Scenario switch'!$B$41)</f>
        <v/>
      </c>
      <c r="F21" s="29">
        <f>F10*F15*(1-'Scenario switch'!$B$41)</f>
        <v/>
      </c>
      <c r="G21" s="29">
        <f>G10*G15*(1-'Scenario switch'!$B$41)</f>
        <v/>
      </c>
    </row>
    <row r="22">
      <c r="A22" s="31" t="inlineStr">
        <is>
          <t>Total contributions</t>
        </is>
      </c>
      <c r="B22" s="32">
        <f>'Scenario switch'!B28</f>
        <v/>
      </c>
      <c r="C22" s="33">
        <f>SUM(C17:C21)</f>
        <v/>
      </c>
      <c r="D22" s="33">
        <f>SUM(D17:D21)</f>
        <v/>
      </c>
      <c r="E22" s="33">
        <f>SUM(E17:E21)</f>
        <v/>
      </c>
      <c r="F22" s="33">
        <f>SUM(F17:F21)</f>
        <v/>
      </c>
      <c r="G22" s="33">
        <f>SUM(G17:G21)</f>
        <v/>
      </c>
    </row>
    <row r="23">
      <c r="A23" s="27" t="inlineStr">
        <is>
          <t>Program service revenue</t>
        </is>
      </c>
      <c r="B23" s="28">
        <f>'Scenario switch'!B29</f>
        <v/>
      </c>
      <c r="C23" s="29">
        <f>B23*(1+'Scenario switch'!$E$14)</f>
        <v/>
      </c>
      <c r="D23" s="29">
        <f>C23*(1+'Scenario switch'!$E$14)</f>
        <v/>
      </c>
      <c r="E23" s="29">
        <f>D23*(1+'Scenario switch'!$E$14)</f>
        <v/>
      </c>
      <c r="F23" s="29">
        <f>E23*(1+'Scenario switch'!$E$14)</f>
        <v/>
      </c>
      <c r="G23" s="29">
        <f>F23*(1+'Scenario switch'!$E$14)</f>
        <v/>
      </c>
    </row>
    <row r="24" ht="26" customHeight="1">
      <c r="A24" s="27" t="inlineStr">
        <is>
          <t>Investment and other income</t>
        </is>
      </c>
      <c r="C24" s="29">
        <f>C51*'Scenario switch'!$E$18</f>
        <v/>
      </c>
      <c r="D24" s="29">
        <f>D51*'Scenario switch'!$E$18</f>
        <v/>
      </c>
      <c r="E24" s="29">
        <f>E51*'Scenario switch'!$E$18</f>
        <v/>
      </c>
      <c r="F24" s="29">
        <f>F51*'Scenario switch'!$E$18</f>
        <v/>
      </c>
      <c r="G24" s="29">
        <f>G51*'Scenario switch'!$E$18</f>
        <v/>
      </c>
      <c r="I24" s="30" t="inlineStr">
        <is>
          <t>Return on the opening reserve balance, wired below.</t>
        </is>
      </c>
    </row>
    <row r="25">
      <c r="A25" s="31" t="inlineStr">
        <is>
          <t>Total revenue</t>
        </is>
      </c>
      <c r="B25" s="32">
        <f>'Scenario switch'!B28+'Scenario switch'!B29</f>
        <v/>
      </c>
      <c r="C25" s="33">
        <f>C22+C23+C24</f>
        <v/>
      </c>
      <c r="D25" s="33">
        <f>D22+D23+D24</f>
        <v/>
      </c>
      <c r="E25" s="33">
        <f>E22+E23+E24</f>
        <v/>
      </c>
      <c r="F25" s="33">
        <f>F22+F23+F24</f>
        <v/>
      </c>
      <c r="G25" s="33">
        <f>G22+G23+G24</f>
        <v/>
      </c>
    </row>
    <row r="27" ht="18" customHeight="1">
      <c r="A27" s="6" t="inlineStr">
        <is>
          <t>Program volume and unit cost</t>
        </is>
      </c>
      <c r="B27" s="7" t="n"/>
      <c r="C27" s="7" t="n"/>
      <c r="D27" s="7" t="n"/>
      <c r="E27" s="7" t="n"/>
      <c r="F27" s="7" t="n"/>
      <c r="G27" s="7" t="n"/>
      <c r="H27" s="7" t="n"/>
      <c r="I27" s="7" t="n"/>
    </row>
    <row r="28">
      <c r="A28" s="22" t="inlineStr">
        <is>
          <t>Career Coaching: participants</t>
        </is>
      </c>
      <c r="B28" s="23" t="n">
        <v>2050</v>
      </c>
      <c r="C28" s="24">
        <f>MIN(B28*(1+'Scenario switch'!$E$17),3400)</f>
        <v/>
      </c>
      <c r="D28" s="24">
        <f>MIN(C28*(1+'Scenario switch'!$E$17),3400)</f>
        <v/>
      </c>
      <c r="E28" s="24">
        <f>MIN(D28*(1+'Scenario switch'!$E$17),3400)</f>
        <v/>
      </c>
      <c r="F28" s="24">
        <f>MIN(E28*(1+'Scenario switch'!$E$17),3400)</f>
        <v/>
      </c>
      <c r="G28" s="24">
        <f>MIN(F28*(1+'Scenario switch'!$E$17),3400)</f>
        <v/>
      </c>
    </row>
    <row r="29">
      <c r="A29" s="22" t="inlineStr">
        <is>
          <t>Digital Learning: participants</t>
        </is>
      </c>
      <c r="B29" s="23" t="n">
        <v>7395</v>
      </c>
      <c r="C29" s="24">
        <f>MIN(B29*(1+'Scenario switch'!$E$17),15000)</f>
        <v/>
      </c>
      <c r="D29" s="24">
        <f>MIN(C29*(1+'Scenario switch'!$E$17),15000)</f>
        <v/>
      </c>
      <c r="E29" s="24">
        <f>MIN(D29*(1+'Scenario switch'!$E$17),15000)</f>
        <v/>
      </c>
      <c r="F29" s="24">
        <f>MIN(E29*(1+'Scenario switch'!$E$17),15000)</f>
        <v/>
      </c>
      <c r="G29" s="24">
        <f>MIN(F29*(1+'Scenario switch'!$E$17),15000)</f>
        <v/>
      </c>
    </row>
    <row r="30">
      <c r="A30" s="22" t="inlineStr">
        <is>
          <t>Credential Support: participants</t>
        </is>
      </c>
      <c r="B30" s="23" t="n">
        <v>700</v>
      </c>
      <c r="C30" s="24">
        <f>MIN(B30*(1+'Scenario switch'!$E$17),1150)</f>
        <v/>
      </c>
      <c r="D30" s="24">
        <f>MIN(C30*(1+'Scenario switch'!$E$17),1150)</f>
        <v/>
      </c>
      <c r="E30" s="24">
        <f>MIN(D30*(1+'Scenario switch'!$E$17),1150)</f>
        <v/>
      </c>
      <c r="F30" s="24">
        <f>MIN(E30*(1+'Scenario switch'!$E$17),1150)</f>
        <v/>
      </c>
      <c r="G30" s="24">
        <f>MIN(F30*(1+'Scenario switch'!$E$17),1150)</f>
        <v/>
      </c>
    </row>
    <row r="31">
      <c r="A31" s="22" t="inlineStr">
        <is>
          <t>Partner Capacity: participants</t>
        </is>
      </c>
      <c r="B31" s="23" t="n">
        <v>641</v>
      </c>
      <c r="C31" s="24">
        <f>MIN(B31*(1+'Scenario switch'!$E$17),1500)</f>
        <v/>
      </c>
      <c r="D31" s="24">
        <f>MIN(C31*(1+'Scenario switch'!$E$17),1500)</f>
        <v/>
      </c>
      <c r="E31" s="24">
        <f>MIN(D31*(1+'Scenario switch'!$E$17),1500)</f>
        <v/>
      </c>
      <c r="F31" s="24">
        <f>MIN(E31*(1+'Scenario switch'!$E$17),1500)</f>
        <v/>
      </c>
      <c r="G31" s="24">
        <f>MIN(F31*(1+'Scenario switch'!$E$17),1500)</f>
        <v/>
      </c>
    </row>
    <row r="32">
      <c r="A32" s="22" t="inlineStr">
        <is>
          <t>Career Coaching: cost per participant</t>
        </is>
      </c>
      <c r="B32" s="25" t="n">
        <v>3848.7805</v>
      </c>
      <c r="C32" s="26">
        <f>B32*(1+'Scenario switch'!$E$15)</f>
        <v/>
      </c>
      <c r="D32" s="26">
        <f>C32*(1+'Scenario switch'!$E$15)</f>
        <v/>
      </c>
      <c r="E32" s="26">
        <f>D32*(1+'Scenario switch'!$E$15)</f>
        <v/>
      </c>
      <c r="F32" s="26">
        <f>E32*(1+'Scenario switch'!$E$15)</f>
        <v/>
      </c>
      <c r="G32" s="26">
        <f>F32*(1+'Scenario switch'!$E$15)</f>
        <v/>
      </c>
    </row>
    <row r="33">
      <c r="A33" s="22" t="inlineStr">
        <is>
          <t>Digital Learning: cost per participant</t>
        </is>
      </c>
      <c r="B33" s="25" t="n">
        <v>300.2028</v>
      </c>
      <c r="C33" s="26">
        <f>B33*(1+'Scenario switch'!$E$15)</f>
        <v/>
      </c>
      <c r="D33" s="26">
        <f>C33*(1+'Scenario switch'!$E$15)</f>
        <v/>
      </c>
      <c r="E33" s="26">
        <f>D33*(1+'Scenario switch'!$E$15)</f>
        <v/>
      </c>
      <c r="F33" s="26">
        <f>E33*(1+'Scenario switch'!$E$15)</f>
        <v/>
      </c>
      <c r="G33" s="26">
        <f>F33*(1+'Scenario switch'!$E$15)</f>
        <v/>
      </c>
    </row>
    <row r="34">
      <c r="A34" s="22" t="inlineStr">
        <is>
          <t>Credential Support: cost per participant</t>
        </is>
      </c>
      <c r="B34" s="25" t="n">
        <v>4200</v>
      </c>
      <c r="C34" s="26">
        <f>B34*(1+'Scenario switch'!$E$15)</f>
        <v/>
      </c>
      <c r="D34" s="26">
        <f>C34*(1+'Scenario switch'!$E$15)</f>
        <v/>
      </c>
      <c r="E34" s="26">
        <f>D34*(1+'Scenario switch'!$E$15)</f>
        <v/>
      </c>
      <c r="F34" s="26">
        <f>E34*(1+'Scenario switch'!$E$15)</f>
        <v/>
      </c>
      <c r="G34" s="26">
        <f>F34*(1+'Scenario switch'!$E$15)</f>
        <v/>
      </c>
    </row>
    <row r="35">
      <c r="A35" s="22" t="inlineStr">
        <is>
          <t>Partner Capacity: cost per participant</t>
        </is>
      </c>
      <c r="B35" s="25" t="n">
        <v>2022.4368</v>
      </c>
      <c r="C35" s="26">
        <f>B35*(1+'Scenario switch'!$E$15)</f>
        <v/>
      </c>
      <c r="D35" s="26">
        <f>C35*(1+'Scenario switch'!$E$15)</f>
        <v/>
      </c>
      <c r="E35" s="26">
        <f>D35*(1+'Scenario switch'!$E$15)</f>
        <v/>
      </c>
      <c r="F35" s="26">
        <f>E35*(1+'Scenario switch'!$E$15)</f>
        <v/>
      </c>
      <c r="G35" s="26">
        <f>F35*(1+'Scenario switch'!$E$15)</f>
        <v/>
      </c>
    </row>
    <row r="37">
      <c r="A37" s="22" t="inlineStr">
        <is>
          <t>Career Coaching: program cost</t>
        </is>
      </c>
      <c r="C37" s="29">
        <f>C28*C32</f>
        <v/>
      </c>
      <c r="D37" s="29">
        <f>D28*D32</f>
        <v/>
      </c>
      <c r="E37" s="29">
        <f>E28*E32</f>
        <v/>
      </c>
      <c r="F37" s="29">
        <f>F28*F32</f>
        <v/>
      </c>
      <c r="G37" s="29">
        <f>G28*G32</f>
        <v/>
      </c>
    </row>
    <row r="38">
      <c r="A38" s="22" t="inlineStr">
        <is>
          <t>Digital Learning: program cost</t>
        </is>
      </c>
      <c r="C38" s="29">
        <f>C29*C33</f>
        <v/>
      </c>
      <c r="D38" s="29">
        <f>D29*D33</f>
        <v/>
      </c>
      <c r="E38" s="29">
        <f>E29*E33</f>
        <v/>
      </c>
      <c r="F38" s="29">
        <f>F29*F33</f>
        <v/>
      </c>
      <c r="G38" s="29">
        <f>G29*G33</f>
        <v/>
      </c>
    </row>
    <row r="39">
      <c r="A39" s="22" t="inlineStr">
        <is>
          <t>Credential Support: program cost</t>
        </is>
      </c>
      <c r="C39" s="29">
        <f>C30*C34</f>
        <v/>
      </c>
      <c r="D39" s="29">
        <f>D30*D34</f>
        <v/>
      </c>
      <c r="E39" s="29">
        <f>E30*E34</f>
        <v/>
      </c>
      <c r="F39" s="29">
        <f>F30*F34</f>
        <v/>
      </c>
      <c r="G39" s="29">
        <f>G30*G34</f>
        <v/>
      </c>
    </row>
    <row r="40">
      <c r="A40" s="22" t="inlineStr">
        <is>
          <t>Partner Capacity: program cost</t>
        </is>
      </c>
      <c r="C40" s="29">
        <f>C31*C35</f>
        <v/>
      </c>
      <c r="D40" s="29">
        <f>D31*D35</f>
        <v/>
      </c>
      <c r="E40" s="29">
        <f>E31*E35</f>
        <v/>
      </c>
      <c r="F40" s="29">
        <f>F31*F35</f>
        <v/>
      </c>
      <c r="G40" s="29">
        <f>G31*G35</f>
        <v/>
      </c>
    </row>
    <row r="42" ht="18" customHeight="1">
      <c r="A42" s="6" t="inlineStr">
        <is>
          <t>Expenses</t>
        </is>
      </c>
      <c r="B42" s="7" t="n"/>
      <c r="C42" s="7" t="n"/>
      <c r="D42" s="7" t="n"/>
      <c r="E42" s="7" t="n"/>
      <c r="F42" s="7" t="n"/>
      <c r="G42" s="7" t="n"/>
      <c r="H42" s="7" t="n"/>
      <c r="I42" s="7" t="n"/>
    </row>
    <row r="43">
      <c r="A43" s="31" t="inlineStr">
        <is>
          <t>Program services</t>
        </is>
      </c>
      <c r="B43" s="32">
        <f>'Scenario switch'!B30</f>
        <v/>
      </c>
      <c r="C43" s="33">
        <f>SUM(C37:C40)</f>
        <v/>
      </c>
      <c r="D43" s="33">
        <f>SUM(D37:D40)</f>
        <v/>
      </c>
      <c r="E43" s="33">
        <f>SUM(E37:E40)</f>
        <v/>
      </c>
      <c r="F43" s="33">
        <f>SUM(F37:F40)</f>
        <v/>
      </c>
      <c r="G43" s="33">
        <f>SUM(G37:G40)</f>
        <v/>
      </c>
    </row>
    <row r="44" ht="26" customHeight="1">
      <c r="A44" s="27" t="inlineStr">
        <is>
          <t>Management and general</t>
        </is>
      </c>
      <c r="B44" s="28">
        <f>'Scenario switch'!B31</f>
        <v/>
      </c>
      <c r="C44" s="29">
        <f>B44*(1+'Scenario switch'!$E$16)*(1+'Scenario switch'!$B$34*(C43/B43-1))</f>
        <v/>
      </c>
      <c r="D44" s="29">
        <f>C44*(1+'Scenario switch'!$E$16)*(1+'Scenario switch'!$B$34*(D43/C43-1))</f>
        <v/>
      </c>
      <c r="E44" s="29">
        <f>D44*(1+'Scenario switch'!$E$16)*(1+'Scenario switch'!$B$34*(E43/D43-1))</f>
        <v/>
      </c>
      <c r="F44" s="29">
        <f>E44*(1+'Scenario switch'!$E$16)*(1+'Scenario switch'!$B$34*(F43/E43-1))</f>
        <v/>
      </c>
      <c r="G44" s="29">
        <f>F44*(1+'Scenario switch'!$E$16)*(1+'Scenario switch'!$B$34*(G43/F43-1))</f>
        <v/>
      </c>
      <c r="I44" s="30" t="inlineStr">
        <is>
          <t>Semi-fixed. In the Downside case this does not fall as fast as revenue, which is why the program expense ratio deteriorates exactly when the optics are worst.</t>
        </is>
      </c>
    </row>
    <row r="45">
      <c r="A45" s="27" t="inlineStr">
        <is>
          <t>Fundraising</t>
        </is>
      </c>
      <c r="B45" s="28">
        <f>'Scenario switch'!B32</f>
        <v/>
      </c>
      <c r="C45" s="29">
        <f>B45*(1+'Scenario switch'!$E$16)*(1+'Scenario switch'!$B$35*(C22/B22-1))</f>
        <v/>
      </c>
      <c r="D45" s="29">
        <f>C45*(1+'Scenario switch'!$E$16)*(1+'Scenario switch'!$B$35*(D22/C22-1))</f>
        <v/>
      </c>
      <c r="E45" s="29">
        <f>D45*(1+'Scenario switch'!$E$16)*(1+'Scenario switch'!$B$35*(E22/D22-1))</f>
        <v/>
      </c>
      <c r="F45" s="29">
        <f>E45*(1+'Scenario switch'!$E$16)*(1+'Scenario switch'!$B$35*(F22/E22-1))</f>
        <v/>
      </c>
      <c r="G45" s="29">
        <f>F45*(1+'Scenario switch'!$E$16)*(1+'Scenario switch'!$B$35*(G22/F22-1))</f>
        <v/>
      </c>
    </row>
    <row r="46">
      <c r="A46" s="31" t="inlineStr">
        <is>
          <t>Total expenses</t>
        </is>
      </c>
      <c r="B46" s="32">
        <f>'Scenario switch'!B30+'Scenario switch'!B31+'Scenario switch'!B32</f>
        <v/>
      </c>
      <c r="C46" s="33">
        <f>C43+C44+C45</f>
        <v/>
      </c>
      <c r="D46" s="33">
        <f>D43+D44+D45</f>
        <v/>
      </c>
      <c r="E46" s="33">
        <f>E43+E44+E45</f>
        <v/>
      </c>
      <c r="F46" s="33">
        <f>F43+F44+F45</f>
        <v/>
      </c>
      <c r="G46" s="33">
        <f>G43+G44+G45</f>
        <v/>
      </c>
    </row>
    <row r="48" ht="18" customHeight="1">
      <c r="A48" s="6" t="inlineStr">
        <is>
          <t>Result, reserves and covenants</t>
        </is>
      </c>
      <c r="B48" s="7" t="n"/>
      <c r="C48" s="7" t="n"/>
      <c r="D48" s="7" t="n"/>
      <c r="E48" s="7" t="n"/>
      <c r="F48" s="7" t="n"/>
      <c r="G48" s="7" t="n"/>
      <c r="H48" s="7" t="n"/>
      <c r="I48" s="7" t="n"/>
    </row>
    <row r="49">
      <c r="A49" s="31" t="inlineStr">
        <is>
          <t>Operating surplus / (deficit)</t>
        </is>
      </c>
      <c r="C49" s="33">
        <f>C25-C46</f>
        <v/>
      </c>
      <c r="D49" s="33">
        <f>D25-D46</f>
        <v/>
      </c>
      <c r="E49" s="33">
        <f>E25-E46</f>
        <v/>
      </c>
      <c r="F49" s="33">
        <f>F25-F46</f>
        <v/>
      </c>
      <c r="G49" s="33">
        <f>G25-G46</f>
        <v/>
      </c>
    </row>
    <row r="50">
      <c r="A50" s="27" t="inlineStr">
        <is>
          <t>Operating margin</t>
        </is>
      </c>
      <c r="C50" s="34">
        <f>C49/C25</f>
        <v/>
      </c>
      <c r="D50" s="34">
        <f>D49/D25</f>
        <v/>
      </c>
      <c r="E50" s="34">
        <f>E49/E25</f>
        <v/>
      </c>
      <c r="F50" s="34">
        <f>F49/F25</f>
        <v/>
      </c>
      <c r="G50" s="34">
        <f>G49/G25</f>
        <v/>
      </c>
    </row>
    <row r="51">
      <c r="A51" s="27" t="inlineStr">
        <is>
          <t>Opening liquid reserves</t>
        </is>
      </c>
      <c r="C51" s="29">
        <f>'Scenario switch'!B26</f>
        <v/>
      </c>
      <c r="D51" s="29">
        <f>C52</f>
        <v/>
      </c>
      <c r="E51" s="29">
        <f>D52</f>
        <v/>
      </c>
      <c r="F51" s="29">
        <f>E52</f>
        <v/>
      </c>
      <c r="G51" s="29">
        <f>F52</f>
        <v/>
      </c>
    </row>
    <row r="52">
      <c r="A52" s="31" t="inlineStr">
        <is>
          <t>Closing liquid reserves</t>
        </is>
      </c>
      <c r="B52" s="32">
        <f>'Scenario switch'!B26</f>
        <v/>
      </c>
      <c r="C52" s="33">
        <f>C51+C49</f>
        <v/>
      </c>
      <c r="D52" s="33">
        <f>D51+D49</f>
        <v/>
      </c>
      <c r="E52" s="33">
        <f>E51+E49</f>
        <v/>
      </c>
      <c r="F52" s="33">
        <f>F51+F49</f>
        <v/>
      </c>
      <c r="G52" s="33">
        <f>G51+G49</f>
        <v/>
      </c>
    </row>
    <row r="53">
      <c r="A53" s="27" t="inlineStr">
        <is>
          <t>Closing net assets</t>
        </is>
      </c>
      <c r="B53" s="28">
        <f>'Scenario switch'!B27</f>
        <v/>
      </c>
      <c r="C53" s="29">
        <f>B53+C49</f>
        <v/>
      </c>
      <c r="D53" s="29">
        <f>C53+D49</f>
        <v/>
      </c>
      <c r="E53" s="29">
        <f>D53+E49</f>
        <v/>
      </c>
      <c r="F53" s="29">
        <f>E53+F49</f>
        <v/>
      </c>
      <c r="G53" s="29">
        <f>F53+G49</f>
        <v/>
      </c>
    </row>
    <row r="54">
      <c r="A54" s="27" t="inlineStr">
        <is>
          <t>Average monthly expenses</t>
        </is>
      </c>
      <c r="C54" s="29">
        <f>C46/12</f>
        <v/>
      </c>
      <c r="D54" s="29">
        <f>D46/12</f>
        <v/>
      </c>
      <c r="E54" s="29">
        <f>E46/12</f>
        <v/>
      </c>
      <c r="F54" s="29">
        <f>F46/12</f>
        <v/>
      </c>
      <c r="G54" s="29">
        <f>G46/12</f>
        <v/>
      </c>
    </row>
    <row r="55" ht="26" customHeight="1">
      <c r="A55" s="27" t="inlineStr">
        <is>
          <t>Liquid reserve runway</t>
        </is>
      </c>
      <c r="C55" s="35">
        <f>C52/C54</f>
        <v/>
      </c>
      <c r="D55" s="35">
        <f>D52/D54</f>
        <v/>
      </c>
      <c r="E55" s="35">
        <f>E52/E54</f>
        <v/>
      </c>
      <c r="F55" s="35">
        <f>F52/F54</f>
        <v/>
      </c>
      <c r="G55" s="35">
        <f>G52/G54</f>
        <v/>
      </c>
      <c r="I55" s="30" t="inlineStr">
        <is>
          <t>Shaded red below the six-month floor.</t>
        </is>
      </c>
    </row>
    <row r="56">
      <c r="A56" s="27" t="inlineStr">
        <is>
          <t>Reserve floor headroom</t>
        </is>
      </c>
      <c r="C56" s="35">
        <f>C55-'Scenario switch'!$B$36</f>
        <v/>
      </c>
      <c r="D56" s="35">
        <f>D55-'Scenario switch'!$B$36</f>
        <v/>
      </c>
      <c r="E56" s="35">
        <f>E55-'Scenario switch'!$B$36</f>
        <v/>
      </c>
      <c r="F56" s="35">
        <f>F55-'Scenario switch'!$B$36</f>
        <v/>
      </c>
      <c r="G56" s="35">
        <f>G55-'Scenario switch'!$B$36</f>
        <v/>
      </c>
    </row>
    <row r="57" ht="26" customHeight="1">
      <c r="A57" s="27" t="inlineStr">
        <is>
          <t>Net assets, multiple of expenses</t>
        </is>
      </c>
      <c r="C57" s="36">
        <f>C53/C46</f>
        <v/>
      </c>
      <c r="D57" s="36">
        <f>D53/D46</f>
        <v/>
      </c>
      <c r="E57" s="36">
        <f>E53/E46</f>
        <v/>
      </c>
      <c r="F57" s="36">
        <f>F53/F46</f>
        <v/>
      </c>
      <c r="G57" s="36">
        <f>G53/G46</f>
        <v/>
      </c>
      <c r="I57" s="30" t="inlineStr">
        <is>
          <t>Shaded amber above the BBB three-times accumulation ceiling.</t>
        </is>
      </c>
    </row>
    <row r="59" ht="18" customHeight="1">
      <c r="A59" s="6" t="inlineStr">
        <is>
          <t>Program outputs</t>
        </is>
      </c>
      <c r="B59" s="7" t="n"/>
      <c r="C59" s="7" t="n"/>
      <c r="D59" s="7" t="n"/>
      <c r="E59" s="7" t="n"/>
      <c r="F59" s="7" t="n"/>
      <c r="G59" s="7" t="n"/>
      <c r="H59" s="7" t="n"/>
      <c r="I59" s="7" t="n"/>
    </row>
    <row r="60">
      <c r="A60" s="27" t="inlineStr">
        <is>
          <t>Participants served</t>
        </is>
      </c>
      <c r="C60" s="24">
        <f>C28+C29+C30+C31</f>
        <v/>
      </c>
      <c r="D60" s="24">
        <f>D28+D29+D30+D31</f>
        <v/>
      </c>
      <c r="E60" s="24">
        <f>E28+E29+E30+E31</f>
        <v/>
      </c>
      <c r="F60" s="24">
        <f>F28+F29+F30+F31</f>
        <v/>
      </c>
      <c r="G60" s="24">
        <f>G28+G29+G30+G31</f>
        <v/>
      </c>
    </row>
    <row r="61">
      <c r="A61" s="27" t="inlineStr">
        <is>
          <t>Successful outcomes</t>
        </is>
      </c>
      <c r="C61" s="24">
        <f>C28*0.4200000000+C29*0.0450304260+C30*0.3100000000+C31*0.1294851794</f>
        <v/>
      </c>
      <c r="D61" s="24">
        <f>D28*0.4200000000+D29*0.0450304260+D30*0.3100000000+D31*0.1294851794</f>
        <v/>
      </c>
      <c r="E61" s="24">
        <f>E28*0.4200000000+E29*0.0450304260+E30*0.3100000000+E31*0.1294851794</f>
        <v/>
      </c>
      <c r="F61" s="24">
        <f>F28*0.4200000000+F29*0.0450304260+F30*0.3100000000+F31*0.1294851794</f>
        <v/>
      </c>
      <c r="G61" s="24">
        <f>G28*0.4200000000+G29*0.0450304260+G30*0.3100000000+G31*0.1294851794</f>
        <v/>
      </c>
    </row>
    <row r="62">
      <c r="A62" s="27" t="inlineStr">
        <is>
          <t>Program expense ratio</t>
        </is>
      </c>
      <c r="C62" s="34">
        <f>C43/C46</f>
        <v/>
      </c>
      <c r="D62" s="34">
        <f>D43/D46</f>
        <v/>
      </c>
      <c r="E62" s="34">
        <f>E43/E46</f>
        <v/>
      </c>
      <c r="F62" s="34">
        <f>F43/F46</f>
        <v/>
      </c>
      <c r="G62" s="34">
        <f>G43/G46</f>
        <v/>
      </c>
    </row>
    <row r="63">
      <c r="A63" s="27" t="inlineStr">
        <is>
          <t>Cost per participant</t>
        </is>
      </c>
      <c r="C63" s="26">
        <f>C43/C60</f>
        <v/>
      </c>
      <c r="D63" s="26">
        <f>D43/D60</f>
        <v/>
      </c>
      <c r="E63" s="26">
        <f>E43/E60</f>
        <v/>
      </c>
      <c r="F63" s="26">
        <f>F43/F60</f>
        <v/>
      </c>
      <c r="G63" s="26">
        <f>G43/G60</f>
        <v/>
      </c>
    </row>
    <row r="64">
      <c r="A64" s="27" t="inlineStr">
        <is>
          <t>Cost per successful outcome</t>
        </is>
      </c>
      <c r="C64" s="26">
        <f>C43/C61</f>
        <v/>
      </c>
      <c r="D64" s="26">
        <f>D43/D61</f>
        <v/>
      </c>
      <c r="E64" s="26">
        <f>E43/E61</f>
        <v/>
      </c>
      <c r="F64" s="26">
        <f>F43/F61</f>
        <v/>
      </c>
      <c r="G64" s="26">
        <f>G43/G61</f>
        <v/>
      </c>
    </row>
  </sheetData>
  <conditionalFormatting sqref="C49:G49">
    <cfRule type="cellIs" priority="1" operator="lessThan" dxfId="0">
      <formula>0</formula>
    </cfRule>
  </conditionalFormatting>
  <conditionalFormatting sqref="C55:G55">
    <cfRule type="cellIs" priority="2" operator="lessThan" dxfId="0">
      <formula>'Scenario switch'!$B$36</formula>
    </cfRule>
  </conditionalFormatting>
  <conditionalFormatting sqref="C57:G57">
    <cfRule type="cellIs" priority="3" operator="greaterThan" dxfId="1">
      <formula>'Scenario switch'!$B$37</formula>
    </cfRule>
  </conditionalFormatting>
  <pageMargins left="0.75" right="0.75" top="1" bottom="1" header="0.5" footer="0.5"/>
</worksheet>
</file>

<file path=xl/worksheets/sheet3.xml><?xml version="1.0" encoding="utf-8"?>
<worksheet xmlns="http://schemas.openxmlformats.org/spreadsheetml/2006/main">
  <sheetPr>
    <tabColor rgb="000B6E4F"/>
    <outlinePr summaryBelow="1" summaryRight="1"/>
    <pageSetUpPr/>
  </sheetPr>
  <dimension ref="A1:H72"/>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3" customWidth="1" min="7" max="7"/>
    <col width="56" customWidth="1" min="8" max="8"/>
  </cols>
  <sheetData>
    <row r="1" ht="24" customHeight="1">
      <c r="A1" s="1" t="inlineStr">
        <is>
          <t>Scenario comparison</t>
        </is>
      </c>
    </row>
    <row r="2">
      <c r="A2" s="2" t="inlineStr">
        <is>
          <t>All three cases at once. Values computed by the model engine rather than live formulas, because a single scenario switch can only hold one case at a time. 'Scenario model' is the live version.</t>
        </is>
      </c>
    </row>
    <row r="3">
      <c r="A3" s="3" t="n"/>
      <c r="B3" s="3" t="n"/>
      <c r="C3" s="3" t="n"/>
      <c r="D3" s="3" t="n"/>
      <c r="E3" s="3" t="n"/>
      <c r="F3" s="3" t="n"/>
      <c r="G3" s="3" t="n"/>
      <c r="H3" s="3" t="n"/>
    </row>
    <row r="4" ht="18" customHeight="1">
      <c r="A4" s="6" t="inlineStr">
        <is>
          <t>Downside case</t>
        </is>
      </c>
      <c r="B4" s="7" t="n"/>
      <c r="C4" s="7" t="n"/>
      <c r="D4" s="7" t="n"/>
      <c r="E4" s="7" t="n"/>
      <c r="F4" s="7" t="n"/>
      <c r="G4" s="7" t="n"/>
      <c r="H4" s="7" t="n"/>
    </row>
    <row r="5" ht="30" customHeight="1">
      <c r="A5" s="4" t="inlineStr">
        <is>
          <t>Metric</t>
        </is>
      </c>
      <c r="B5" s="5" t="inlineStr">
        <is>
          <t>FY2025</t>
        </is>
      </c>
      <c r="C5" s="5" t="inlineStr">
        <is>
          <t>FY2026</t>
        </is>
      </c>
      <c r="D5" s="5" t="inlineStr">
        <is>
          <t>FY2027</t>
        </is>
      </c>
      <c r="E5" s="5" t="inlineStr">
        <is>
          <t>FY2028</t>
        </is>
      </c>
      <c r="F5" s="5" t="inlineStr">
        <is>
          <t>FY2029</t>
        </is>
      </c>
      <c r="G5" s="5" t="inlineStr"/>
      <c r="H5" s="5" t="inlineStr">
        <is>
          <t>Note</t>
        </is>
      </c>
    </row>
    <row r="6">
      <c r="A6" s="8" t="inlineStr">
        <is>
          <t>Total revenue</t>
        </is>
      </c>
      <c r="B6" s="37" t="n">
        <v>22448864.1562</v>
      </c>
      <c r="C6" s="37" t="n">
        <v>18352718.68157041</v>
      </c>
      <c r="D6" s="37" t="n">
        <v>15086007.60658968</v>
      </c>
      <c r="E6" s="37" t="n">
        <v>12453437.3509267</v>
      </c>
      <c r="F6" s="37" t="n">
        <v>10308162.00997169</v>
      </c>
    </row>
    <row r="7">
      <c r="A7" s="8" t="inlineStr">
        <is>
          <t>Total expenses</t>
        </is>
      </c>
      <c r="B7" s="37" t="n">
        <v>18050060.60928812</v>
      </c>
      <c r="C7" s="37" t="n">
        <v>17841947.33705451</v>
      </c>
      <c r="D7" s="37" t="n">
        <v>17650373.13282123</v>
      </c>
      <c r="E7" s="37" t="n">
        <v>17474533.411683</v>
      </c>
      <c r="F7" s="37" t="n">
        <v>17313739.70968235</v>
      </c>
    </row>
    <row r="8">
      <c r="A8" s="8" t="inlineStr">
        <is>
          <t>Operating result</t>
        </is>
      </c>
      <c r="B8" s="37" t="n">
        <v>4398803.54691188</v>
      </c>
      <c r="C8" s="37" t="n">
        <v>510771.3445159085</v>
      </c>
      <c r="D8" s="37" t="n">
        <v>-2564365.52623155</v>
      </c>
      <c r="E8" s="37" t="n">
        <v>-5021096.060756302</v>
      </c>
      <c r="F8" s="37" t="n">
        <v>-7005577.699710663</v>
      </c>
    </row>
    <row r="9">
      <c r="A9" s="8" t="inlineStr">
        <is>
          <t>Operating margin</t>
        </is>
      </c>
      <c r="B9" s="19" t="n">
        <v>0.1959477110425208</v>
      </c>
      <c r="C9" s="19" t="n">
        <v>0.0278308273219934</v>
      </c>
      <c r="D9" s="19" t="n">
        <v>-0.1699830460851296</v>
      </c>
      <c r="E9" s="19" t="n">
        <v>-0.4031895708201934</v>
      </c>
      <c r="F9" s="19" t="n">
        <v>-0.6796146289642867</v>
      </c>
    </row>
    <row r="10">
      <c r="A10" s="8" t="inlineStr">
        <is>
          <t>Closing liquid reserves</t>
        </is>
      </c>
      <c r="B10" s="37" t="n">
        <v>40648803.54691188</v>
      </c>
      <c r="C10" s="37" t="n">
        <v>41159574.89142779</v>
      </c>
      <c r="D10" s="37" t="n">
        <v>38595209.36519624</v>
      </c>
      <c r="E10" s="37" t="n">
        <v>33574113.30443993</v>
      </c>
      <c r="F10" s="37" t="n">
        <v>26568535.60472927</v>
      </c>
    </row>
    <row r="11">
      <c r="A11" s="8" t="inlineStr">
        <is>
          <t>Liquid reserve runway</t>
        </is>
      </c>
      <c r="B11" s="38" t="n">
        <v>27.02404457921543</v>
      </c>
      <c r="C11" s="38" t="n">
        <v>27.68279097379473</v>
      </c>
      <c r="D11" s="38" t="n">
        <v>26.23981424625703</v>
      </c>
      <c r="E11" s="38" t="n">
        <v>23.05580069931471</v>
      </c>
      <c r="F11" s="38" t="n">
        <v>18.41441725489591</v>
      </c>
    </row>
    <row r="12">
      <c r="A12" s="8" t="inlineStr">
        <is>
          <t>Closing net assets</t>
        </is>
      </c>
      <c r="B12" s="37" t="n">
        <v>44305857.54691188</v>
      </c>
      <c r="C12" s="37" t="n">
        <v>44816628.89142779</v>
      </c>
      <c r="D12" s="37" t="n">
        <v>42252263.36519624</v>
      </c>
      <c r="E12" s="37" t="n">
        <v>37231167.30443993</v>
      </c>
      <c r="F12" s="37" t="n">
        <v>30225589.60472927</v>
      </c>
    </row>
    <row r="13">
      <c r="A13" s="8" t="inlineStr">
        <is>
          <t>Net assets / expenses</t>
        </is>
      </c>
      <c r="B13" s="39" t="n">
        <v>2.454609904418447</v>
      </c>
      <c r="C13" s="39" t="n">
        <v>2.511868690384022</v>
      </c>
      <c r="D13" s="39" t="n">
        <v>2.393845333877236</v>
      </c>
      <c r="E13" s="39" t="n">
        <v>2.130595789158421</v>
      </c>
      <c r="F13" s="39" t="n">
        <v>1.745757422229597</v>
      </c>
    </row>
    <row r="14">
      <c r="A14" s="8" t="inlineStr">
        <is>
          <t>Program expense ratio</t>
        </is>
      </c>
      <c r="B14" s="19" t="n">
        <v>0.7824116968237143</v>
      </c>
      <c r="C14" s="19" t="n">
        <v>0.7791899651472344</v>
      </c>
      <c r="D14" s="19" t="n">
        <v>0.7753598672438274</v>
      </c>
      <c r="E14" s="19" t="n">
        <v>0.7709446972097049</v>
      </c>
      <c r="F14" s="19" t="n">
        <v>0.7659660749181324</v>
      </c>
    </row>
    <row r="15">
      <c r="A15" s="8" t="inlineStr">
        <is>
          <t>Participants served</t>
        </is>
      </c>
      <c r="B15" s="20" t="n">
        <v>9923.120000000001</v>
      </c>
      <c r="C15" s="20" t="n">
        <v>9129.270400000001</v>
      </c>
      <c r="D15" s="20" t="n">
        <v>8398.928768000002</v>
      </c>
      <c r="E15" s="20" t="n">
        <v>7727.014466560001</v>
      </c>
      <c r="F15" s="20" t="n">
        <v>7108.853309235201</v>
      </c>
    </row>
    <row r="16">
      <c r="A16" s="8" t="inlineStr">
        <is>
          <t>Successful outcomes</t>
        </is>
      </c>
      <c r="B16" s="20" t="n">
        <v>1374.48</v>
      </c>
      <c r="C16" s="20" t="n">
        <v>1264.5216</v>
      </c>
      <c r="D16" s="20" t="n">
        <v>1163.359872</v>
      </c>
      <c r="E16" s="20" t="n">
        <v>1070.29108224</v>
      </c>
      <c r="F16" s="20" t="n">
        <v>984.6677956608003</v>
      </c>
    </row>
    <row r="17">
      <c r="A17" s="8" t="inlineStr">
        <is>
          <t>Cost per successful outcome</t>
        </is>
      </c>
      <c r="B17" s="37" t="n">
        <v>10274.85197971888</v>
      </c>
      <c r="C17" s="37" t="n">
        <v>10994.0916182992</v>
      </c>
      <c r="D17" s="37" t="n">
        <v>11763.67803158014</v>
      </c>
      <c r="E17" s="37" t="n">
        <v>12587.13549379076</v>
      </c>
      <c r="F17" s="37" t="n">
        <v>13468.23497835611</v>
      </c>
    </row>
    <row r="18">
      <c r="A18" s="8" t="inlineStr">
        <is>
          <t>Implied FTE</t>
        </is>
      </c>
      <c r="B18" s="20" t="n">
        <v>111.32</v>
      </c>
      <c r="C18" s="20" t="n">
        <v>102.4144</v>
      </c>
      <c r="D18" s="20" t="n">
        <v>94.22124800000002</v>
      </c>
      <c r="E18" s="20" t="n">
        <v>86.68354816</v>
      </c>
      <c r="F18" s="20" t="n">
        <v>79.74886430720001</v>
      </c>
    </row>
    <row r="20" ht="18" customHeight="1">
      <c r="A20" s="6" t="inlineStr">
        <is>
          <t>Base case</t>
        </is>
      </c>
      <c r="B20" s="7" t="n"/>
      <c r="C20" s="7" t="n"/>
      <c r="D20" s="7" t="n"/>
      <c r="E20" s="7" t="n"/>
      <c r="F20" s="7" t="n"/>
      <c r="G20" s="7" t="n"/>
      <c r="H20" s="7" t="n"/>
    </row>
    <row r="21" ht="30" customHeight="1">
      <c r="A21" s="4" t="inlineStr">
        <is>
          <t>Metric</t>
        </is>
      </c>
      <c r="B21" s="5" t="inlineStr">
        <is>
          <t>FY2025</t>
        </is>
      </c>
      <c r="C21" s="5" t="inlineStr">
        <is>
          <t>FY2026</t>
        </is>
      </c>
      <c r="D21" s="5" t="inlineStr">
        <is>
          <t>FY2027</t>
        </is>
      </c>
      <c r="E21" s="5" t="inlineStr">
        <is>
          <t>FY2028</t>
        </is>
      </c>
      <c r="F21" s="5" t="inlineStr">
        <is>
          <t>FY2029</t>
        </is>
      </c>
      <c r="G21" s="5" t="inlineStr"/>
      <c r="H21" s="5" t="inlineStr">
        <is>
          <t>Note</t>
        </is>
      </c>
    </row>
    <row r="22">
      <c r="A22" s="8" t="inlineStr">
        <is>
          <t>Total revenue</t>
        </is>
      </c>
      <c r="B22" s="37" t="n">
        <v>27749073.45100001</v>
      </c>
      <c r="C22" s="37" t="n">
        <v>27376797.48059348</v>
      </c>
      <c r="D22" s="37" t="n">
        <v>27025705.97202431</v>
      </c>
      <c r="E22" s="37" t="n">
        <v>26684542.7754352</v>
      </c>
      <c r="F22" s="37" t="n">
        <v>26341676.5623994</v>
      </c>
    </row>
    <row r="23">
      <c r="A23" s="8" t="inlineStr">
        <is>
          <t>Total expenses</t>
        </is>
      </c>
      <c r="B23" s="37" t="n">
        <v>19873118.90101349</v>
      </c>
      <c r="C23" s="37" t="n">
        <v>21621825.35877227</v>
      </c>
      <c r="D23" s="37" t="n">
        <v>23536071.77493263</v>
      </c>
      <c r="E23" s="37" t="n">
        <v>25631521.38974539</v>
      </c>
      <c r="F23" s="37" t="n">
        <v>27925323.60802503</v>
      </c>
    </row>
    <row r="24">
      <c r="A24" s="8" t="inlineStr">
        <is>
          <t>Operating result</t>
        </is>
      </c>
      <c r="B24" s="37" t="n">
        <v>7875954.549986519</v>
      </c>
      <c r="C24" s="37" t="n">
        <v>5754972.121821217</v>
      </c>
      <c r="D24" s="37" t="n">
        <v>3489634.197091676</v>
      </c>
      <c r="E24" s="37" t="n">
        <v>1053021.38568981</v>
      </c>
      <c r="F24" s="37" t="n">
        <v>-1583647.045625627</v>
      </c>
    </row>
    <row r="25">
      <c r="A25" s="8" t="inlineStr">
        <is>
          <t>Operating margin</t>
        </is>
      </c>
      <c r="B25" s="19" t="n">
        <v>0.2838276587466631</v>
      </c>
      <c r="C25" s="19" t="n">
        <v>0.2102134892111003</v>
      </c>
      <c r="D25" s="19" t="n">
        <v>0.1291227766891261</v>
      </c>
      <c r="E25" s="19" t="n">
        <v>0.0394618485522331</v>
      </c>
      <c r="F25" s="19" t="n">
        <v>-0.06011944766971113</v>
      </c>
    </row>
    <row r="26">
      <c r="A26" s="8" t="inlineStr">
        <is>
          <t>Closing liquid reserves</t>
        </is>
      </c>
      <c r="B26" s="37" t="n">
        <v>44125954.54998652</v>
      </c>
      <c r="C26" s="37" t="n">
        <v>49880926.67180774</v>
      </c>
      <c r="D26" s="37" t="n">
        <v>53370560.86889941</v>
      </c>
      <c r="E26" s="37" t="n">
        <v>54423582.25458922</v>
      </c>
      <c r="F26" s="37" t="n">
        <v>52839935.2089636</v>
      </c>
    </row>
    <row r="27">
      <c r="A27" s="8" t="inlineStr">
        <is>
          <t>Liquid reserve runway</t>
        </is>
      </c>
      <c r="B27" s="38" t="n">
        <v>26.64460758461191</v>
      </c>
      <c r="C27" s="38" t="n">
        <v>27.68365344412721</v>
      </c>
      <c r="D27" s="38" t="n">
        <v>27.21128387741017</v>
      </c>
      <c r="E27" s="38" t="n">
        <v>25.47968094146588</v>
      </c>
      <c r="F27" s="38" t="n">
        <v>22.70624438978193</v>
      </c>
    </row>
    <row r="28">
      <c r="A28" s="8" t="inlineStr">
        <is>
          <t>Closing net assets</t>
        </is>
      </c>
      <c r="B28" s="37" t="n">
        <v>47783008.54998652</v>
      </c>
      <c r="C28" s="37" t="n">
        <v>53537980.67180774</v>
      </c>
      <c r="D28" s="37" t="n">
        <v>57027614.86889941</v>
      </c>
      <c r="E28" s="37" t="n">
        <v>58080636.25458922</v>
      </c>
      <c r="F28" s="37" t="n">
        <v>56496989.2089636</v>
      </c>
    </row>
    <row r="29">
      <c r="A29" s="8" t="inlineStr">
        <is>
          <t>Net assets / expenses</t>
        </is>
      </c>
      <c r="B29" s="39" t="n">
        <v>2.404404099225195</v>
      </c>
      <c r="C29" s="39" t="n">
        <v>2.476108274091052</v>
      </c>
      <c r="D29" s="39" t="n">
        <v>2.422987804177133</v>
      </c>
      <c r="E29" s="39" t="n">
        <v>2.265984736974139</v>
      </c>
      <c r="F29" s="39" t="n">
        <v>2.023145371634218</v>
      </c>
    </row>
    <row r="30">
      <c r="A30" s="8" t="inlineStr">
        <is>
          <t>Program expense ratio</t>
        </is>
      </c>
      <c r="B30" s="19" t="n">
        <v>0.7919952520426132</v>
      </c>
      <c r="C30" s="19" t="n">
        <v>0.7986242050237448</v>
      </c>
      <c r="D30" s="19" t="n">
        <v>0.8049095112534359</v>
      </c>
      <c r="E30" s="19" t="n">
        <v>0.8108730548135172</v>
      </c>
      <c r="F30" s="19" t="n">
        <v>0.8165358451928068</v>
      </c>
    </row>
    <row r="31">
      <c r="A31" s="8" t="inlineStr">
        <is>
          <t>Participants served</t>
        </is>
      </c>
      <c r="B31" s="20" t="n">
        <v>11433.16</v>
      </c>
      <c r="C31" s="20" t="n">
        <v>12119.1496</v>
      </c>
      <c r="D31" s="20" t="n">
        <v>12846.298576</v>
      </c>
      <c r="E31" s="20" t="n">
        <v>13617.07649056</v>
      </c>
      <c r="F31" s="20" t="n">
        <v>14434.1010799936</v>
      </c>
    </row>
    <row r="32">
      <c r="A32" s="8" t="inlineStr">
        <is>
          <t>Successful outcomes</t>
        </is>
      </c>
      <c r="B32" s="20" t="n">
        <v>1583.64</v>
      </c>
      <c r="C32" s="20" t="n">
        <v>1678.6584</v>
      </c>
      <c r="D32" s="20" t="n">
        <v>1779.377904</v>
      </c>
      <c r="E32" s="20" t="n">
        <v>1886.14057824</v>
      </c>
      <c r="F32" s="20" t="n">
        <v>1999.3090129344</v>
      </c>
    </row>
    <row r="33">
      <c r="A33" s="8" t="inlineStr">
        <is>
          <t>Cost per successful outcome</t>
        </is>
      </c>
      <c r="B33" s="37" t="n">
        <v>9938.758690662649</v>
      </c>
      <c r="C33" s="37" t="n">
        <v>10286.61524483584</v>
      </c>
      <c r="D33" s="37" t="n">
        <v>10646.6467784051</v>
      </c>
      <c r="E33" s="37" t="n">
        <v>11019.27941564927</v>
      </c>
      <c r="F33" s="37" t="n">
        <v>11404.954195197</v>
      </c>
    </row>
    <row r="34">
      <c r="A34" s="8" t="inlineStr">
        <is>
          <t>Implied FTE</t>
        </is>
      </c>
      <c r="B34" s="20" t="n">
        <v>128.26</v>
      </c>
      <c r="C34" s="20" t="n">
        <v>135.9556</v>
      </c>
      <c r="D34" s="20" t="n">
        <v>144.112936</v>
      </c>
      <c r="E34" s="20" t="n">
        <v>152.75971216</v>
      </c>
      <c r="F34" s="20" t="n">
        <v>161.9252948896</v>
      </c>
    </row>
    <row r="36" ht="18" customHeight="1">
      <c r="A36" s="6" t="inlineStr">
        <is>
          <t>Upside case</t>
        </is>
      </c>
      <c r="B36" s="7" t="n"/>
      <c r="C36" s="7" t="n"/>
      <c r="D36" s="7" t="n"/>
      <c r="E36" s="7" t="n"/>
      <c r="F36" s="7" t="n"/>
      <c r="G36" s="7" t="n"/>
      <c r="H36" s="7" t="n"/>
    </row>
    <row r="37" ht="30" customHeight="1">
      <c r="A37" s="4" t="inlineStr">
        <is>
          <t>Metric</t>
        </is>
      </c>
      <c r="B37" s="5" t="inlineStr">
        <is>
          <t>FY2025</t>
        </is>
      </c>
      <c r="C37" s="5" t="inlineStr">
        <is>
          <t>FY2026</t>
        </is>
      </c>
      <c r="D37" s="5" t="inlineStr">
        <is>
          <t>FY2027</t>
        </is>
      </c>
      <c r="E37" s="5" t="inlineStr">
        <is>
          <t>FY2028</t>
        </is>
      </c>
      <c r="F37" s="5" t="inlineStr">
        <is>
          <t>FY2029</t>
        </is>
      </c>
      <c r="G37" s="5" t="inlineStr"/>
      <c r="H37" s="5" t="inlineStr">
        <is>
          <t>Note</t>
        </is>
      </c>
    </row>
    <row r="38">
      <c r="A38" s="8" t="inlineStr">
        <is>
          <t>Total revenue</t>
        </is>
      </c>
      <c r="B38" s="37" t="n">
        <v>31746271.7054</v>
      </c>
      <c r="C38" s="37" t="n">
        <v>35206665.32836138</v>
      </c>
      <c r="D38" s="37" t="n">
        <v>38981618.58885749</v>
      </c>
      <c r="E38" s="37" t="n">
        <v>43093762.59970236</v>
      </c>
      <c r="F38" s="37" t="n">
        <v>47671482.74046922</v>
      </c>
    </row>
    <row r="39">
      <c r="A39" s="8" t="inlineStr">
        <is>
          <t>Total expenses</t>
        </is>
      </c>
      <c r="B39" s="37" t="n">
        <v>21269718.95457513</v>
      </c>
      <c r="C39" s="37" t="n">
        <v>24780555.00507661</v>
      </c>
      <c r="D39" s="37" t="n">
        <v>28899853.49843064</v>
      </c>
      <c r="E39" s="37" t="n">
        <v>31821002.89027148</v>
      </c>
      <c r="F39" s="37" t="n">
        <v>33671221.88692778</v>
      </c>
    </row>
    <row r="40">
      <c r="A40" s="8" t="inlineStr">
        <is>
          <t>Operating result</t>
        </is>
      </c>
      <c r="B40" s="37" t="n">
        <v>10476552.75082487</v>
      </c>
      <c r="C40" s="37" t="n">
        <v>10426110.32328477</v>
      </c>
      <c r="D40" s="37" t="n">
        <v>10081765.09042685</v>
      </c>
      <c r="E40" s="37" t="n">
        <v>11272759.70943088</v>
      </c>
      <c r="F40" s="37" t="n">
        <v>14000260.85354145</v>
      </c>
    </row>
    <row r="41">
      <c r="A41" s="8" t="inlineStr">
        <is>
          <t>Operating margin</t>
        </is>
      </c>
      <c r="B41" s="19" t="n">
        <v>0.3300089172059477</v>
      </c>
      <c r="C41" s="19" t="n">
        <v>0.2961402400949863</v>
      </c>
      <c r="D41" s="19" t="n">
        <v>0.2586286936096754</v>
      </c>
      <c r="E41" s="19" t="n">
        <v>0.2615868058248582</v>
      </c>
      <c r="F41" s="19" t="n">
        <v>0.2936820935434501</v>
      </c>
    </row>
    <row r="42">
      <c r="A42" s="8" t="inlineStr">
        <is>
          <t>Closing liquid reserves</t>
        </is>
      </c>
      <c r="B42" s="37" t="n">
        <v>46726552.75082487</v>
      </c>
      <c r="C42" s="37" t="n">
        <v>57152663.07410964</v>
      </c>
      <c r="D42" s="37" t="n">
        <v>67234428.16453649</v>
      </c>
      <c r="E42" s="37" t="n">
        <v>78507187.87396736</v>
      </c>
      <c r="F42" s="37" t="n">
        <v>92507448.72750881</v>
      </c>
    </row>
    <row r="43">
      <c r="A43" s="8" t="inlineStr">
        <is>
          <t>Liquid reserve runway</t>
        </is>
      </c>
      <c r="B43" s="38" t="n">
        <v>26.36229628644376</v>
      </c>
      <c r="C43" s="38" t="n">
        <v>27.6762145459944</v>
      </c>
      <c r="D43" s="38" t="n">
        <v>27.91755113977482</v>
      </c>
      <c r="E43" s="38" t="n">
        <v>29.60580022371416</v>
      </c>
      <c r="F43" s="38" t="n">
        <v>32.96849126705073</v>
      </c>
    </row>
    <row r="44">
      <c r="A44" s="8" t="inlineStr">
        <is>
          <t>Closing net assets</t>
        </is>
      </c>
      <c r="B44" s="37" t="n">
        <v>50383606.75082487</v>
      </c>
      <c r="C44" s="37" t="n">
        <v>60809717.07410964</v>
      </c>
      <c r="D44" s="37" t="n">
        <v>70891482.16453649</v>
      </c>
      <c r="E44" s="37" t="n">
        <v>82164241.87396736</v>
      </c>
      <c r="F44" s="37" t="n">
        <v>96164502.72750881</v>
      </c>
    </row>
    <row r="45">
      <c r="A45" s="8" t="inlineStr">
        <is>
          <t>Net assets / expenses</t>
        </is>
      </c>
      <c r="B45" s="39" t="n">
        <v>2.36879513351479</v>
      </c>
      <c r="C45" s="39" t="n">
        <v>2.453928778497979</v>
      </c>
      <c r="D45" s="39" t="n">
        <v>2.453004897356526</v>
      </c>
      <c r="E45" s="39" t="n">
        <v>2.582075811918773</v>
      </c>
      <c r="F45" s="39" t="n">
        <v>2.855984943179116</v>
      </c>
    </row>
    <row r="46">
      <c r="A46" s="8" t="inlineStr">
        <is>
          <t>Program expense ratio</t>
        </is>
      </c>
      <c r="B46" s="19" t="n">
        <v>0.7980659899081903</v>
      </c>
      <c r="C46" s="19" t="n">
        <v>0.8104900487699724</v>
      </c>
      <c r="D46" s="19" t="n">
        <v>0.8222828560872397</v>
      </c>
      <c r="E46" s="19" t="n">
        <v>0.8260089542432805</v>
      </c>
      <c r="F46" s="19" t="n">
        <v>0.8243987793409328</v>
      </c>
    </row>
    <row r="47">
      <c r="A47" s="8" t="inlineStr">
        <is>
          <t>Participants served</t>
        </is>
      </c>
      <c r="B47" s="20" t="n">
        <v>12511.76</v>
      </c>
      <c r="C47" s="20" t="n">
        <v>14513.6416</v>
      </c>
      <c r="D47" s="20" t="n">
        <v>16835.824256</v>
      </c>
      <c r="E47" s="20" t="n">
        <v>19100.29789695999</v>
      </c>
      <c r="F47" s="20" t="n">
        <v>20896.3190025216</v>
      </c>
    </row>
    <row r="48">
      <c r="A48" s="8" t="inlineStr">
        <is>
          <t>Successful outcomes</t>
        </is>
      </c>
      <c r="B48" s="20" t="n">
        <v>1733.04</v>
      </c>
      <c r="C48" s="20" t="n">
        <v>2010.3264</v>
      </c>
      <c r="D48" s="20" t="n">
        <v>2331.978623999999</v>
      </c>
      <c r="E48" s="20" t="n">
        <v>2537.72597376</v>
      </c>
      <c r="F48" s="20" t="n">
        <v>2634.284747033133</v>
      </c>
    </row>
    <row r="49">
      <c r="A49" s="8" t="inlineStr">
        <is>
          <t>Cost per successful outcome</t>
        </is>
      </c>
      <c r="B49" s="37" t="n">
        <v>9794.718709638555</v>
      </c>
      <c r="C49" s="37" t="n">
        <v>9990.613083831326</v>
      </c>
      <c r="D49" s="37" t="n">
        <v>10190.42534550795</v>
      </c>
      <c r="E49" s="37" t="n">
        <v>10357.47499617598</v>
      </c>
      <c r="F49" s="37" t="n">
        <v>10537.4008082323</v>
      </c>
    </row>
    <row r="50">
      <c r="A50" s="8" t="inlineStr">
        <is>
          <t>Implied FTE</t>
        </is>
      </c>
      <c r="B50" s="20" t="n">
        <v>140.36</v>
      </c>
      <c r="C50" s="20" t="n">
        <v>162.8176</v>
      </c>
      <c r="D50" s="20" t="n">
        <v>188.868416</v>
      </c>
      <c r="E50" s="20" t="n">
        <v>203.6373384673359</v>
      </c>
      <c r="F50" s="20" t="n">
        <v>209.2034934499089</v>
      </c>
    </row>
    <row r="52" ht="18" customHeight="1">
      <c r="A52" s="6" t="inlineStr">
        <is>
          <t>Spread between cases, FY2029</t>
        </is>
      </c>
      <c r="B52" s="7" t="n"/>
      <c r="C52" s="7" t="n"/>
      <c r="D52" s="7" t="n"/>
      <c r="E52" s="7" t="n"/>
      <c r="F52" s="7" t="n"/>
      <c r="G52" s="7" t="n"/>
      <c r="H52" s="7" t="n"/>
    </row>
    <row r="53" ht="30" customHeight="1">
      <c r="A53" s="4" t="inlineStr">
        <is>
          <t>Metric</t>
        </is>
      </c>
      <c r="B53" s="5" t="inlineStr">
        <is>
          <t>Downside</t>
        </is>
      </c>
      <c r="C53" s="5" t="inlineStr">
        <is>
          <t>Base</t>
        </is>
      </c>
      <c r="D53" s="5" t="inlineStr">
        <is>
          <t>Upside</t>
        </is>
      </c>
      <c r="E53" s="5" t="inlineStr">
        <is>
          <t>Up less Down</t>
        </is>
      </c>
      <c r="F53" s="5" t="inlineStr"/>
      <c r="G53" s="5" t="inlineStr"/>
      <c r="H53" s="5" t="inlineStr">
        <is>
          <t>Note</t>
        </is>
      </c>
    </row>
    <row r="54">
      <c r="A54" s="8" t="inlineStr">
        <is>
          <t>Total revenue</t>
        </is>
      </c>
      <c r="B54" s="37" t="n">
        <v>10308162.00997169</v>
      </c>
      <c r="C54" s="37" t="n">
        <v>26341676.5623994</v>
      </c>
      <c r="D54" s="37" t="n">
        <v>47671482.74046922</v>
      </c>
      <c r="E54" s="40" t="n">
        <v>37363320.73049754</v>
      </c>
    </row>
    <row r="55">
      <c r="A55" s="8" t="inlineStr">
        <is>
          <t>Total expenses</t>
        </is>
      </c>
      <c r="B55" s="37" t="n">
        <v>17313739.70968235</v>
      </c>
      <c r="C55" s="37" t="n">
        <v>27925323.60802503</v>
      </c>
      <c r="D55" s="37" t="n">
        <v>33671221.88692778</v>
      </c>
      <c r="E55" s="40" t="n">
        <v>16357482.17724543</v>
      </c>
    </row>
    <row r="56">
      <c r="A56" s="8" t="inlineStr">
        <is>
          <t>Operating result</t>
        </is>
      </c>
      <c r="B56" s="37" t="n">
        <v>-7005577.699710663</v>
      </c>
      <c r="C56" s="37" t="n">
        <v>-1583647.045625627</v>
      </c>
      <c r="D56" s="37" t="n">
        <v>14000260.85354145</v>
      </c>
      <c r="E56" s="40" t="n">
        <v>21005838.55325211</v>
      </c>
    </row>
    <row r="57">
      <c r="A57" s="8" t="inlineStr">
        <is>
          <t>Operating margin</t>
        </is>
      </c>
      <c r="B57" s="19" t="n">
        <v>-0.6796146289642867</v>
      </c>
      <c r="C57" s="19" t="n">
        <v>-0.06011944766971113</v>
      </c>
      <c r="D57" s="19" t="n">
        <v>0.2936820935434501</v>
      </c>
      <c r="E57" s="41" t="n">
        <v>0.9732967225077368</v>
      </c>
    </row>
    <row r="58">
      <c r="A58" s="8" t="inlineStr">
        <is>
          <t>Closing liquid reserves</t>
        </is>
      </c>
      <c r="B58" s="37" t="n">
        <v>26568535.60472927</v>
      </c>
      <c r="C58" s="37" t="n">
        <v>52839935.2089636</v>
      </c>
      <c r="D58" s="37" t="n">
        <v>92507448.72750881</v>
      </c>
      <c r="E58" s="40" t="n">
        <v>65938913.12277955</v>
      </c>
    </row>
    <row r="59">
      <c r="A59" s="8" t="inlineStr">
        <is>
          <t>Liquid reserve runway</t>
        </is>
      </c>
      <c r="B59" s="38" t="n">
        <v>18.41441725489591</v>
      </c>
      <c r="C59" s="38" t="n">
        <v>22.70624438978193</v>
      </c>
      <c r="D59" s="38" t="n">
        <v>32.96849126705073</v>
      </c>
      <c r="E59" s="42" t="n">
        <v>14.55407401215482</v>
      </c>
    </row>
    <row r="60">
      <c r="A60" s="8" t="inlineStr">
        <is>
          <t>Closing net assets</t>
        </is>
      </c>
      <c r="B60" s="37" t="n">
        <v>30225589.60472927</v>
      </c>
      <c r="C60" s="37" t="n">
        <v>56496989.2089636</v>
      </c>
      <c r="D60" s="37" t="n">
        <v>96164502.72750881</v>
      </c>
      <c r="E60" s="40" t="n">
        <v>65938913.12277955</v>
      </c>
    </row>
    <row r="61">
      <c r="A61" s="8" t="inlineStr">
        <is>
          <t>Net assets / expenses</t>
        </is>
      </c>
      <c r="B61" s="39" t="n">
        <v>1.745757422229597</v>
      </c>
      <c r="C61" s="39" t="n">
        <v>2.023145371634218</v>
      </c>
      <c r="D61" s="39" t="n">
        <v>2.855984943179116</v>
      </c>
      <c r="E61" s="43" t="n">
        <v>1.110227520949518</v>
      </c>
    </row>
    <row r="62">
      <c r="A62" s="8" t="inlineStr">
        <is>
          <t>Program expense ratio</t>
        </is>
      </c>
      <c r="B62" s="19" t="n">
        <v>0.7659660749181324</v>
      </c>
      <c r="C62" s="19" t="n">
        <v>0.8165358451928068</v>
      </c>
      <c r="D62" s="19" t="n">
        <v>0.8243987793409328</v>
      </c>
      <c r="E62" s="41" t="n">
        <v>0.05843270442280035</v>
      </c>
    </row>
    <row r="63">
      <c r="A63" s="8" t="inlineStr">
        <is>
          <t>Participants served</t>
        </is>
      </c>
      <c r="B63" s="20" t="n">
        <v>7108.853309235201</v>
      </c>
      <c r="C63" s="20" t="n">
        <v>14434.1010799936</v>
      </c>
      <c r="D63" s="20" t="n">
        <v>20896.3190025216</v>
      </c>
      <c r="E63" s="44" t="n">
        <v>13787.4656932864</v>
      </c>
    </row>
    <row r="64">
      <c r="A64" s="8" t="inlineStr">
        <is>
          <t>Successful outcomes</t>
        </is>
      </c>
      <c r="B64" s="20" t="n">
        <v>984.6677956608003</v>
      </c>
      <c r="C64" s="20" t="n">
        <v>1999.3090129344</v>
      </c>
      <c r="D64" s="20" t="n">
        <v>2634.284747033133</v>
      </c>
      <c r="E64" s="44" t="n">
        <v>1649.616951372332</v>
      </c>
    </row>
    <row r="65">
      <c r="A65" s="8" t="inlineStr">
        <is>
          <t>Cost per successful outcome</t>
        </is>
      </c>
      <c r="B65" s="37" t="n">
        <v>13468.23497835611</v>
      </c>
      <c r="C65" s="37" t="n">
        <v>11404.954195197</v>
      </c>
      <c r="D65" s="37" t="n">
        <v>10537.4008082323</v>
      </c>
      <c r="E65" s="40" t="n">
        <v>-2930.834170123804</v>
      </c>
    </row>
    <row r="66">
      <c r="A66" s="8" t="inlineStr">
        <is>
          <t>Implied FTE</t>
        </is>
      </c>
      <c r="B66" s="20" t="n">
        <v>79.74886430720001</v>
      </c>
      <c r="C66" s="20" t="n">
        <v>161.9252948896</v>
      </c>
      <c r="D66" s="20" t="n">
        <v>209.2034934499089</v>
      </c>
      <c r="E66" s="44" t="n">
        <v>129.4546291427089</v>
      </c>
    </row>
    <row r="68" ht="18" customHeight="1">
      <c r="A68" s="6" t="inlineStr">
        <is>
          <t>Reading the spread</t>
        </is>
      </c>
      <c r="B68" s="7" t="n"/>
      <c r="C68" s="7" t="n"/>
      <c r="D68" s="7" t="n"/>
      <c r="E68" s="7" t="n"/>
      <c r="F68" s="7" t="n"/>
      <c r="G68" s="7" t="n"/>
      <c r="H68" s="7" t="n"/>
    </row>
    <row r="69" ht="39" customHeight="1">
      <c r="A69" s="45" t="inlineStr">
        <is>
          <t>The FY2029 operating result ranges from a deficit of $7,005,578 in the Downside case to a surplus of $14,000,261 in the Upside case, a spread of $21,005,839. That spread is roughly 115% of the current annual expense base, which is a fair measure of how much of this organization's future is not within its own control.</t>
        </is>
      </c>
    </row>
    <row r="70" ht="39" customHeight="1">
      <c r="A70" s="45" t="inlineStr">
        <is>
          <t>The Base case turns negative in FY2029 - 5 years from the last filed year - with a deficit of $1,583,647. This is the single most important output of the model. It is not a crisis forecast; it is the arithmetic of a cost base that grows with programs while foundation and government funding normalize after an episodic surge.</t>
        </is>
      </c>
    </row>
    <row r="71" ht="39" customHeight="1">
      <c r="A71" s="45" t="inlineStr">
        <is>
          <t>Reserves absorb all three cases comfortably over five years. Liquid runway ends the horizon at 18 months in the Downside case against 23 in Base. The balance sheet is not the constraint here; the income statement is. That distinction matters because it changes the remedy from cost-cutting to funding diversification.</t>
        </is>
      </c>
    </row>
    <row r="72" ht="39" customHeight="1">
      <c r="A72" s="45" t="inlineStr">
        <is>
          <t>Successful outcomes range from 985 to 2,634 in FY2029. The Upside case delivers 168% more placements than the Downside case for 94% more spending, which is a reasonable indication that the marginal dollar in this organization still buys real output rather than overhead.</t>
        </is>
      </c>
    </row>
  </sheetData>
  <mergeCells count="4">
    <mergeCell ref="A70:H70"/>
    <mergeCell ref="A71:H71"/>
    <mergeCell ref="A72:H72"/>
    <mergeCell ref="A69:H69"/>
  </mergeCells>
  <conditionalFormatting sqref="B8:F8">
    <cfRule type="cellIs" priority="1" operator="lessThan" dxfId="0">
      <formula>0</formula>
    </cfRule>
  </conditionalFormatting>
  <conditionalFormatting sqref="B24:F24">
    <cfRule type="cellIs" priority="2" operator="lessThan" dxfId="0">
      <formula>0</formula>
    </cfRule>
  </conditionalFormatting>
  <conditionalFormatting sqref="B40:F40">
    <cfRule type="cellIs" priority="3" operator="lessThan" dxfId="0">
      <formula>0</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BF8F00"/>
    <outlinePr summaryBelow="1" summaryRight="1"/>
    <pageSetUpPr/>
  </sheetPr>
  <dimension ref="A1:F43"/>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74" customWidth="1" min="6" max="6"/>
  </cols>
  <sheetData>
    <row r="1" ht="24" customHeight="1">
      <c r="A1" s="1" t="inlineStr">
        <is>
          <t>Scenario switch and driver table</t>
        </is>
      </c>
    </row>
    <row r="2">
      <c r="A2" s="2" t="inlineStr">
        <is>
          <t>Pick a case in the yellow cell. Every sheet in this workbook recalculates. The three cases are also shown side by side on 'Scenario comparison'.</t>
        </is>
      </c>
    </row>
    <row r="3">
      <c r="A3" s="3" t="n"/>
      <c r="B3" s="3" t="n"/>
      <c r="C3" s="3" t="n"/>
      <c r="D3" s="3" t="n"/>
      <c r="E3" s="3" t="n"/>
      <c r="F3" s="3" t="n"/>
    </row>
    <row r="4" ht="24" customHeight="1">
      <c r="A4" s="46" t="inlineStr">
        <is>
          <t>Active scenario</t>
        </is>
      </c>
      <c r="B4" s="47" t="inlineStr">
        <is>
          <t>Base</t>
        </is>
      </c>
    </row>
    <row r="5">
      <c r="A5" s="48" t="inlineStr">
        <is>
          <t>Scenario index</t>
        </is>
      </c>
      <c r="B5" s="49">
        <f>MATCH(B4,{"Downside","Base","Upside"},0)</f>
        <v/>
      </c>
    </row>
    <row r="7" ht="18" customHeight="1">
      <c r="A7" s="6" t="inlineStr">
        <is>
          <t>Scenario drivers</t>
        </is>
      </c>
      <c r="B7" s="7" t="n"/>
      <c r="C7" s="7" t="n"/>
      <c r="D7" s="7" t="n"/>
      <c r="E7" s="7" t="n"/>
      <c r="F7" s="7" t="n"/>
    </row>
    <row r="8" ht="30" customHeight="1">
      <c r="A8" s="4" t="inlineStr">
        <is>
          <t>Driver</t>
        </is>
      </c>
      <c r="B8" s="5" t="inlineStr">
        <is>
          <t>Downside</t>
        </is>
      </c>
      <c r="C8" s="5" t="inlineStr">
        <is>
          <t>Base</t>
        </is>
      </c>
      <c r="D8" s="5" t="inlineStr">
        <is>
          <t>Upside</t>
        </is>
      </c>
      <c r="E8" s="5" t="inlineStr">
        <is>
          <t>Active</t>
        </is>
      </c>
      <c r="F8" s="5" t="inlineStr">
        <is>
          <t>Rationale</t>
        </is>
      </c>
    </row>
    <row r="9">
      <c r="A9" s="8" t="inlineStr">
        <is>
          <t>Individual donation growth</t>
        </is>
      </c>
      <c r="B9" s="16" t="n">
        <v>-0.12</v>
      </c>
      <c r="C9" s="16" t="n">
        <v>0.04</v>
      </c>
      <c r="D9" s="16" t="n">
        <v>0.12</v>
      </c>
      <c r="E9" s="50">
        <f>CHOOSE($B$5,B9,C9,D9)</f>
        <v/>
      </c>
    </row>
    <row r="10">
      <c r="A10" s="8" t="inlineStr">
        <is>
          <t>Corporate donation growth</t>
        </is>
      </c>
      <c r="B10" s="16" t="n">
        <v>-0.15</v>
      </c>
      <c r="C10" s="16" t="n">
        <v>0.03</v>
      </c>
      <c r="D10" s="16" t="n">
        <v>0.14</v>
      </c>
      <c r="E10" s="50">
        <f>CHOOSE($B$5,B10,C10,D10)</f>
        <v/>
      </c>
    </row>
    <row r="11">
      <c r="A11" s="8" t="inlineStr">
        <is>
          <t>Foundation grant growth</t>
        </is>
      </c>
      <c r="B11" s="16" t="n">
        <v>-0.22</v>
      </c>
      <c r="C11" s="16" t="n">
        <v>-0.06</v>
      </c>
      <c r="D11" s="16" t="n">
        <v>0.08</v>
      </c>
      <c r="E11" s="50">
        <f>CHOOSE($B$5,B11,C11,D11)</f>
        <v/>
      </c>
    </row>
    <row r="12">
      <c r="A12" s="8" t="inlineStr">
        <is>
          <t>Government funding growth</t>
        </is>
      </c>
      <c r="B12" s="16" t="n">
        <v>-0.3</v>
      </c>
      <c r="C12" s="16" t="n">
        <v>-0.1</v>
      </c>
      <c r="D12" s="16" t="n">
        <v>0.05</v>
      </c>
      <c r="E12" s="50">
        <f>CHOOSE($B$5,B12,C12,D12)</f>
        <v/>
      </c>
    </row>
    <row r="13">
      <c r="A13" s="8" t="inlineStr">
        <is>
          <t>Fundraising event growth</t>
        </is>
      </c>
      <c r="B13" s="16" t="n">
        <v>-0.1</v>
      </c>
      <c r="C13" s="16" t="n">
        <v>0.02</v>
      </c>
      <c r="D13" s="16" t="n">
        <v>0.09</v>
      </c>
      <c r="E13" s="50">
        <f>CHOOSE($B$5,B13,C13,D13)</f>
        <v/>
      </c>
    </row>
    <row r="14">
      <c r="A14" s="8" t="inlineStr">
        <is>
          <t>Program service revenue growth</t>
        </is>
      </c>
      <c r="B14" s="16" t="n">
        <v>-0.05</v>
      </c>
      <c r="C14" s="16" t="n">
        <v>0.08</v>
      </c>
      <c r="D14" s="16" t="n">
        <v>0.18</v>
      </c>
      <c r="E14" s="50">
        <f>CHOOSE($B$5,B14,C14,D14)</f>
        <v/>
      </c>
    </row>
    <row r="15">
      <c r="A15" s="8" t="inlineStr">
        <is>
          <t>Cost per participant inflation</t>
        </is>
      </c>
      <c r="B15" s="16" t="n">
        <v>0.07000000000000001</v>
      </c>
      <c r="C15" s="16" t="n">
        <v>0.035</v>
      </c>
      <c r="D15" s="16" t="n">
        <v>0.02</v>
      </c>
      <c r="E15" s="50">
        <f>CHOOSE($B$5,B15,C15,D15)</f>
        <v/>
      </c>
    </row>
    <row r="16">
      <c r="A16" s="8" t="inlineStr">
        <is>
          <t>Personnel cost inflation</t>
        </is>
      </c>
      <c r="B16" s="16" t="n">
        <v>0.05</v>
      </c>
      <c r="C16" s="16" t="n">
        <v>0.04</v>
      </c>
      <c r="D16" s="16" t="n">
        <v>0.035</v>
      </c>
      <c r="E16" s="50">
        <f>CHOOSE($B$5,B16,C16,D16)</f>
        <v/>
      </c>
    </row>
    <row r="17">
      <c r="A17" s="8" t="inlineStr">
        <is>
          <t>Participant growth</t>
        </is>
      </c>
      <c r="B17" s="16" t="n">
        <v>-0.08</v>
      </c>
      <c r="C17" s="16" t="n">
        <v>0.06</v>
      </c>
      <c r="D17" s="16" t="n">
        <v>0.16</v>
      </c>
      <c r="E17" s="50">
        <f>CHOOSE($B$5,B17,C17,D17)</f>
        <v/>
      </c>
    </row>
    <row r="18">
      <c r="A18" s="8" t="inlineStr">
        <is>
          <t>Return on investment balance</t>
        </is>
      </c>
      <c r="B18" s="16" t="n">
        <v>0.018</v>
      </c>
      <c r="C18" s="16" t="n">
        <v>0.038</v>
      </c>
      <c r="D18" s="16" t="n">
        <v>0.055</v>
      </c>
      <c r="E18" s="50">
        <f>CHOOSE($B$5,B18,C18,D18)</f>
        <v/>
      </c>
    </row>
    <row r="20" ht="18" customHeight="1">
      <c r="A20" s="6" t="inlineStr">
        <is>
          <t>What each case assumes</t>
        </is>
      </c>
      <c r="B20" s="7" t="n"/>
      <c r="C20" s="7" t="n"/>
      <c r="D20" s="7" t="n"/>
      <c r="E20" s="7" t="n"/>
      <c r="F20" s="7" t="n"/>
    </row>
    <row r="21" ht="65" customHeight="1">
      <c r="A21" s="14" t="inlineStr">
        <is>
          <t>Downside</t>
        </is>
      </c>
      <c r="B21" s="51" t="inlineStr">
        <is>
          <t>Emergency appropriations lapse without replacement and a major foundation cycles out. Government funding falls 30% a year and foundation grants 22%. Cost per participant inflation runs at 7% because the fixed cost base does not shrink as fast as volume. This is the case the reserve exists for, and the case the minimum-funding analysis is built around.</t>
        </is>
      </c>
    </row>
    <row r="22" ht="65" customHeight="1">
      <c r="A22" s="14" t="inlineStr">
        <is>
          <t>Base</t>
        </is>
      </c>
      <c r="B22" s="51" t="inlineStr">
        <is>
          <t>Humanitarian-response funding normalizes gradually. Foundation grants decline 6% a year and government funding 10% a year as emergency appropriations lapse, partly offset by growth in individual, corporate and earned revenue. Participants grow 6% a year and cost per participant rises 3.5%. Management holds headcount roughly flat in real terms.</t>
        </is>
      </c>
    </row>
    <row r="23" ht="65" customHeight="1">
      <c r="A23" s="14" t="inlineStr">
        <is>
          <t>Upside</t>
        </is>
      </c>
      <c r="B23" s="51" t="inlineStr">
        <is>
          <t>The organization converts surge-period relationships into durable multi-year commitments. Foundation funding resumes growth at 8% and government funding stabilizes. Corporate partnerships scale with the employer network. Participants grow 16% a year while cost per participant inflation stays at 2% through digital channel mix shift.</t>
        </is>
      </c>
    </row>
    <row r="25" ht="18" customHeight="1">
      <c r="A25" s="6" t="inlineStr">
        <is>
          <t>Base year and cost behaviour</t>
        </is>
      </c>
      <c r="B25" s="7" t="n"/>
      <c r="C25" s="7" t="n"/>
      <c r="D25" s="7" t="n"/>
      <c r="E25" s="7" t="n"/>
      <c r="F25" s="7" t="n"/>
    </row>
    <row r="26">
      <c r="A26" s="8" t="inlineStr">
        <is>
          <t>FY2024 liquid reserves (opening balance)</t>
        </is>
      </c>
      <c r="B26" s="37">
        <f>'Source data'!G15*0.8512628666621063</f>
        <v/>
      </c>
    </row>
    <row r="27">
      <c r="A27" s="8" t="inlineStr">
        <is>
          <t>FY2024 net assets</t>
        </is>
      </c>
      <c r="B27" s="37">
        <f>'Source data'!G17</f>
        <v/>
      </c>
    </row>
    <row r="28">
      <c r="A28" s="8" t="inlineStr">
        <is>
          <t>FY2024 contributions</t>
        </is>
      </c>
      <c r="B28" s="37">
        <f>'Source data'!G6</f>
        <v/>
      </c>
    </row>
    <row r="29">
      <c r="A29" s="8" t="inlineStr">
        <is>
          <t>FY2024 program service revenue</t>
        </is>
      </c>
      <c r="B29" s="37">
        <f>'Source data'!G7</f>
        <v/>
      </c>
    </row>
    <row r="30">
      <c r="A30" s="8" t="inlineStr">
        <is>
          <t>FY2024 program services expense</t>
        </is>
      </c>
      <c r="B30" s="37">
        <f>'Source data'!G25</f>
        <v/>
      </c>
    </row>
    <row r="31">
      <c r="A31" s="8" t="inlineStr">
        <is>
          <t>FY2024 management and general</t>
        </is>
      </c>
      <c r="B31" s="37">
        <f>'Source data'!G26</f>
        <v/>
      </c>
    </row>
    <row r="32">
      <c r="A32" s="8" t="inlineStr">
        <is>
          <t>FY2024 fundraising</t>
        </is>
      </c>
      <c r="B32" s="37">
        <f>'Source data'!G27</f>
        <v/>
      </c>
    </row>
    <row r="33">
      <c r="A33" s="8" t="inlineStr">
        <is>
          <t>Average gift inflation</t>
        </is>
      </c>
      <c r="B33" s="16" t="n">
        <v>0.02</v>
      </c>
    </row>
    <row r="34">
      <c r="A34" s="8" t="inlineStr">
        <is>
          <t>Management and general, variable share</t>
        </is>
      </c>
      <c r="B34" s="16" t="n">
        <v>0.35</v>
      </c>
    </row>
    <row r="35">
      <c r="A35" s="8" t="inlineStr">
        <is>
          <t>Fundraising, variable share</t>
        </is>
      </c>
      <c r="B35" s="16" t="n">
        <v>0.5</v>
      </c>
    </row>
    <row r="36">
      <c r="A36" s="8" t="inlineStr">
        <is>
          <t>Reserve floor (months of expenses)</t>
        </is>
      </c>
      <c r="B36" s="52" t="n">
        <v>6</v>
      </c>
    </row>
    <row r="37">
      <c r="A37" s="8" t="inlineStr">
        <is>
          <t>BBB net asset ceiling (multiple of expenses)</t>
        </is>
      </c>
      <c r="B37" s="53" t="n">
        <v>3</v>
      </c>
    </row>
    <row r="38">
      <c r="A38" s="8" t="inlineStr">
        <is>
          <t>Largest single funder, share of revenue</t>
        </is>
      </c>
      <c r="B38" s="16" t="n">
        <v>0.18</v>
      </c>
    </row>
    <row r="40" ht="18" customHeight="1">
      <c r="A40" s="6" t="inlineStr">
        <is>
          <t>Funding shock (drives the sensitivity analysis)</t>
        </is>
      </c>
      <c r="B40" s="7" t="n"/>
      <c r="C40" s="7" t="n"/>
      <c r="D40" s="7" t="n"/>
      <c r="E40" s="7" t="n"/>
      <c r="F40" s="7" t="n"/>
    </row>
    <row r="41">
      <c r="A41" s="27" t="inlineStr">
        <is>
          <t>Permanent reduction in contributions from FY2025</t>
        </is>
      </c>
      <c r="B41" s="16" t="n">
        <v>0</v>
      </c>
      <c r="F41" s="54" t="inlineStr">
        <is>
          <t>Set this to 0.10, 0.20 or 0.30 to see the effect on the scenario sheets. The sensitivity table runs the same shocks automatically, so this cell is for exploring, not reporting.</t>
        </is>
      </c>
    </row>
    <row r="43" ht="30" customHeight="1">
      <c r="A43" s="55" t="inlineStr">
        <is>
          <t>Independent analysis prepared from public information for portfolio and educational purposes. Not affiliated with, endorsed by, or reviewed by Upwardly Global. Historical totals are as filed; all forward-looking and program-level figures are analyst assumptions and are not the organization's plans or guidance.</t>
        </is>
      </c>
    </row>
  </sheetData>
  <mergeCells count="4">
    <mergeCell ref="B21:F21"/>
    <mergeCell ref="B23:F23"/>
    <mergeCell ref="B22:F22"/>
    <mergeCell ref="A43:F43"/>
  </mergeCells>
  <dataValidations count="1">
    <dataValidation sqref="B4" showDropDown="0" showInputMessage="0" showErrorMessage="0" allowBlank="0" error="Choose Downside, Base or Upside." prompt="Choose a scenario" type="list">
      <formula1>"Downside,Base,Upside"</formula1>
    </dataValidation>
  </dataValidations>
  <pageMargins left="0.75" right="0.75" top="1" bottom="1" header="0.5" footer="0.5"/>
</worksheet>
</file>

<file path=xl/worksheets/sheet5.xml><?xml version="1.0" encoding="utf-8"?>
<worksheet xmlns="http://schemas.openxmlformats.org/spreadsheetml/2006/main">
  <sheetPr>
    <tabColor rgb="009A3412"/>
    <outlinePr summaryBelow="1" summaryRight="1"/>
    <pageSetUpPr/>
  </sheetPr>
  <dimension ref="A1:I49"/>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3" customWidth="1" min="8" max="8"/>
    <col width="54" customWidth="1" min="9" max="9"/>
  </cols>
  <sheetData>
    <row r="1" ht="24" customHeight="1">
      <c r="A1" s="1" t="inlineStr">
        <is>
          <t>Funding sensitivity and minimum viable funding</t>
        </is>
      </c>
    </row>
    <row r="2">
      <c r="A2" s="2" t="inlineStr">
        <is>
          <t>What happens to results, liquidity, program capacity and beneficiaries if contributions fall permanently. Run on the Base case with the reserve floor enforced, so a funding cut forces a program cut rather than an eternal deficit.</t>
        </is>
      </c>
    </row>
    <row r="3">
      <c r="A3" s="3" t="n"/>
      <c r="B3" s="3" t="n"/>
      <c r="C3" s="3" t="n"/>
      <c r="D3" s="3" t="n"/>
      <c r="E3" s="3" t="n"/>
      <c r="F3" s="3" t="n"/>
      <c r="G3" s="3" t="n"/>
      <c r="H3" s="3" t="n"/>
      <c r="I3" s="3" t="n"/>
    </row>
    <row r="4" ht="18" customHeight="1">
      <c r="A4" s="6" t="inlineStr">
        <is>
          <t>Permanent reduction in contributions from FY2025</t>
        </is>
      </c>
      <c r="B4" s="7" t="n"/>
      <c r="C4" s="7" t="n"/>
      <c r="D4" s="7" t="n"/>
      <c r="E4" s="7" t="n"/>
      <c r="F4" s="7" t="n"/>
      <c r="G4" s="7" t="n"/>
      <c r="H4" s="7" t="n"/>
      <c r="I4" s="7" t="n"/>
    </row>
    <row r="5" ht="30" customHeight="1">
      <c r="A5" s="4" t="inlineStr">
        <is>
          <t>Metric</t>
        </is>
      </c>
      <c r="B5" s="5" t="inlineStr">
        <is>
          <t>0% cut</t>
        </is>
      </c>
      <c r="C5" s="5" t="inlineStr">
        <is>
          <t>10% cut</t>
        </is>
      </c>
      <c r="D5" s="5" t="inlineStr">
        <is>
          <t>20% cut</t>
        </is>
      </c>
      <c r="E5" s="5" t="inlineStr">
        <is>
          <t>30% cut</t>
        </is>
      </c>
      <c r="F5" s="5" t="inlineStr">
        <is>
          <t>40% cut</t>
        </is>
      </c>
      <c r="G5" s="5" t="inlineStr">
        <is>
          <t>50% cut</t>
        </is>
      </c>
      <c r="H5" s="5" t="inlineStr"/>
      <c r="I5" s="5" t="inlineStr">
        <is>
          <t>Note</t>
        </is>
      </c>
    </row>
    <row r="6" ht="26" customHeight="1">
      <c r="A6" s="8" t="inlineStr">
        <is>
          <t>FY2029 operating result</t>
        </is>
      </c>
      <c r="B6" s="37" t="n">
        <v>-1583647.045625627</v>
      </c>
      <c r="C6" s="37" t="n">
        <v>-4119478.443186369</v>
      </c>
      <c r="D6" s="37" t="n">
        <v>-6655309.840747114</v>
      </c>
      <c r="E6" s="37" t="n">
        <v>-9191141.23830786</v>
      </c>
      <c r="F6" s="37" t="n">
        <v>-4818222.946475547</v>
      </c>
      <c r="G6" s="37" t="n">
        <v>-2317147.765839329</v>
      </c>
      <c r="I6" s="30" t="inlineStr">
        <is>
          <t>After any forced program contraction.</t>
        </is>
      </c>
    </row>
    <row r="7" ht="26" customHeight="1">
      <c r="A7" s="8" t="inlineStr">
        <is>
          <t>FY2029 structural result</t>
        </is>
      </c>
      <c r="B7" s="37" t="n">
        <v>-1583647.045625627</v>
      </c>
      <c r="C7" s="37" t="n">
        <v>-4119478.443186369</v>
      </c>
      <c r="D7" s="37" t="n">
        <v>-6655309.840747114</v>
      </c>
      <c r="E7" s="37" t="n">
        <v>-9191141.23830786</v>
      </c>
      <c r="F7" s="37" t="n">
        <v>-11726972.63586861</v>
      </c>
      <c r="G7" s="37" t="n">
        <v>-14262804.03342935</v>
      </c>
      <c r="I7" s="30" t="inlineStr">
        <is>
          <t>Before contraction - what the deficit would be if the organization refused to cut.</t>
        </is>
      </c>
    </row>
    <row r="8">
      <c r="A8" s="8" t="inlineStr">
        <is>
          <t>Cumulative five-year result</t>
        </is>
      </c>
      <c r="B8" s="37" t="n">
        <v>16589935.2089636</v>
      </c>
      <c r="C8" s="37" t="n">
        <v>4231429.558678139</v>
      </c>
      <c r="D8" s="37" t="n">
        <v>-8127076.091607329</v>
      </c>
      <c r="E8" s="37" t="n">
        <v>-20485581.7418928</v>
      </c>
      <c r="F8" s="37" t="n">
        <v>-25935337.70278521</v>
      </c>
      <c r="G8" s="37" t="n">
        <v>-28410107.39927257</v>
      </c>
    </row>
    <row r="9">
      <c r="A9" s="8" t="inlineStr">
        <is>
          <t>Closing liquid reserves</t>
        </is>
      </c>
      <c r="B9" s="37" t="n">
        <v>52839935.2089636</v>
      </c>
      <c r="C9" s="37" t="n">
        <v>40481429.55867814</v>
      </c>
      <c r="D9" s="37" t="n">
        <v>28122923.90839267</v>
      </c>
      <c r="E9" s="37" t="n">
        <v>15764418.2581072</v>
      </c>
      <c r="F9" s="37" t="n">
        <v>10314662.29721479</v>
      </c>
      <c r="G9" s="37" t="n">
        <v>7839892.600727431</v>
      </c>
    </row>
    <row r="10">
      <c r="A10" s="8" t="inlineStr">
        <is>
          <t>Liquid reserve runway</t>
        </is>
      </c>
      <c r="B10" s="38" t="n">
        <v>22.70624438978193</v>
      </c>
      <c r="C10" s="38" t="n">
        <v>17.45609565201837</v>
      </c>
      <c r="D10" s="38" t="n">
        <v>12.1692900084766</v>
      </c>
      <c r="E10" s="38" t="n">
        <v>6.845442202591579</v>
      </c>
      <c r="F10" s="38" t="n">
        <v>5.999999999999999</v>
      </c>
      <c r="G10" s="38" t="n">
        <v>5.999999999999999</v>
      </c>
    </row>
    <row r="11">
      <c r="A11" s="8" t="inlineStr">
        <is>
          <t>Net assets, months</t>
        </is>
      </c>
      <c r="B11" s="38" t="n">
        <v>24.27774445961062</v>
      </c>
      <c r="C11" s="38" t="n">
        <v>19.03306279780711</v>
      </c>
      <c r="D11" s="38" t="n">
        <v>13.75176240173221</v>
      </c>
      <c r="E11" s="38" t="n">
        <v>8.433458415995585</v>
      </c>
      <c r="F11" s="38" t="n">
        <v>8.127294463719373</v>
      </c>
      <c r="G11" s="38" t="n">
        <v>8.79880415682787</v>
      </c>
    </row>
    <row r="12">
      <c r="A12" s="8" t="inlineStr">
        <is>
          <t>Participants served, FY2029</t>
        </is>
      </c>
      <c r="B12" s="20" t="n">
        <v>14434.1010799936</v>
      </c>
      <c r="C12" s="20" t="n">
        <v>14434.1010799936</v>
      </c>
      <c r="D12" s="20" t="n">
        <v>14434.1010799936</v>
      </c>
      <c r="E12" s="20" t="n">
        <v>14434.1010799936</v>
      </c>
      <c r="F12" s="20" t="n">
        <v>10396.30369011055</v>
      </c>
      <c r="G12" s="20" t="n">
        <v>7591.888997454706</v>
      </c>
    </row>
    <row r="13">
      <c r="A13" s="8" t="inlineStr">
        <is>
          <t>Successful outcomes, FY2029</t>
        </is>
      </c>
      <c r="B13" s="20" t="n">
        <v>1999.3090129344</v>
      </c>
      <c r="C13" s="20" t="n">
        <v>1999.3090129344</v>
      </c>
      <c r="D13" s="20" t="n">
        <v>1999.3090129344</v>
      </c>
      <c r="E13" s="20" t="n">
        <v>1999.3090129344</v>
      </c>
      <c r="F13" s="20" t="n">
        <v>1440.022039034411</v>
      </c>
      <c r="G13" s="20" t="n">
        <v>1051.574463396749</v>
      </c>
    </row>
    <row r="14" ht="26" customHeight="1">
      <c r="A14" s="8" t="inlineStr">
        <is>
          <t>Program capacity retained</t>
        </is>
      </c>
      <c r="B14" s="19" t="n">
        <v>1</v>
      </c>
      <c r="C14" s="19" t="n">
        <v>1</v>
      </c>
      <c r="D14" s="19" t="n">
        <v>1</v>
      </c>
      <c r="E14" s="19" t="n">
        <v>1</v>
      </c>
      <c r="F14" s="19" t="n">
        <v>0.7202598646423749</v>
      </c>
      <c r="G14" s="19" t="n">
        <v>0.5259689505692496</v>
      </c>
      <c r="I14" s="30" t="inlineStr">
        <is>
          <t>Against the no-shock Base case. Below 100% means programs were cut to hold the floor.</t>
        </is>
      </c>
    </row>
    <row r="15">
      <c r="A15" s="8" t="inlineStr">
        <is>
          <t>Beneficiaries forgone</t>
        </is>
      </c>
      <c r="B15" s="20" t="n">
        <v>0</v>
      </c>
      <c r="C15" s="20" t="n">
        <v>0</v>
      </c>
      <c r="D15" s="20" t="n">
        <v>0</v>
      </c>
      <c r="E15" s="20" t="n">
        <v>0</v>
      </c>
      <c r="F15" s="20" t="n">
        <v>4037.797389883053</v>
      </c>
      <c r="G15" s="20" t="n">
        <v>6842.212082538895</v>
      </c>
    </row>
    <row r="16">
      <c r="A16" s="8" t="inlineStr">
        <is>
          <t>Outcomes forgone</t>
        </is>
      </c>
      <c r="B16" s="20" t="n">
        <v>0</v>
      </c>
      <c r="C16" s="20" t="n">
        <v>0</v>
      </c>
      <c r="D16" s="20" t="n">
        <v>0</v>
      </c>
      <c r="E16" s="20" t="n">
        <v>0</v>
      </c>
      <c r="F16" s="20" t="n">
        <v>559.2869738999891</v>
      </c>
      <c r="G16" s="20" t="n">
        <v>947.7345495376517</v>
      </c>
    </row>
    <row r="17" ht="26" customHeight="1">
      <c r="A17" s="8" t="inlineStr">
        <is>
          <t>Years until the reserve floor</t>
        </is>
      </c>
      <c r="B17" s="56" t="n">
        <v>9</v>
      </c>
      <c r="C17" s="56" t="n">
        <v>8</v>
      </c>
      <c r="D17" s="56" t="n">
        <v>7</v>
      </c>
      <c r="E17" s="56" t="n">
        <v>6</v>
      </c>
      <c r="F17" s="56" t="n">
        <v>5</v>
      </c>
      <c r="G17" s="56" t="n">
        <v>4</v>
      </c>
      <c r="I17" s="30" t="inlineStr">
        <is>
          <t>Tested over sixteen years. This is the vulnerability measure a board can act on.</t>
        </is>
      </c>
    </row>
    <row r="20" ht="18" customHeight="1">
      <c r="A20" s="6" t="inlineStr">
        <is>
          <t>What if the largest single funder is lost</t>
        </is>
      </c>
      <c r="B20" s="7" t="n"/>
      <c r="C20" s="7" t="n"/>
      <c r="D20" s="7" t="n"/>
      <c r="E20" s="7" t="n"/>
      <c r="F20" s="7" t="n"/>
      <c r="G20" s="7" t="n"/>
      <c r="H20" s="7" t="n"/>
      <c r="I20" s="7" t="n"/>
    </row>
    <row r="21">
      <c r="A21" s="8" t="inlineStr">
        <is>
          <t>Share of total revenue at risk</t>
        </is>
      </c>
      <c r="B21" s="19" t="n">
        <v>0.18</v>
      </c>
    </row>
    <row r="22">
      <c r="A22" s="8" t="inlineStr">
        <is>
          <t>Equivalent share of contributions</t>
        </is>
      </c>
      <c r="B22" s="19" t="n">
        <v>0.1978021978782517</v>
      </c>
    </row>
    <row r="23">
      <c r="A23" s="8" t="inlineStr">
        <is>
          <t>Contributions lost in FY2025</t>
        </is>
      </c>
      <c r="B23" s="37" t="n">
        <v>4972134.101670001</v>
      </c>
    </row>
    <row r="24">
      <c r="A24" s="8" t="inlineStr">
        <is>
          <t>FY2029 operating result</t>
        </is>
      </c>
      <c r="B24" s="37" t="n">
        <v>-6599577.28448756</v>
      </c>
    </row>
    <row r="25">
      <c r="A25" s="8" t="inlineStr">
        <is>
          <t>FY2029 result without the loss</t>
        </is>
      </c>
      <c r="B25" s="37" t="n">
        <v>-1583647.045625627</v>
      </c>
    </row>
    <row r="26">
      <c r="A26" s="8" t="inlineStr">
        <is>
          <t>Cumulative five-year shortfall</t>
        </is>
      </c>
      <c r="B26" s="37" t="n">
        <v>24445395.80117256</v>
      </c>
    </row>
    <row r="27">
      <c r="A27" s="8" t="inlineStr">
        <is>
          <t>Closing liquid reserves</t>
        </is>
      </c>
      <c r="B27" s="37" t="n">
        <v>28394539.40779104</v>
      </c>
    </row>
    <row r="28">
      <c r="A28" s="8" t="inlineStr">
        <is>
          <t>Liquid reserve runway at FY2029</t>
        </is>
      </c>
      <c r="B28" s="38" t="n">
        <v>12.28588022524308</v>
      </c>
    </row>
    <row r="29">
      <c r="A29" s="8" t="inlineStr">
        <is>
          <t>Years until the reserve floor</t>
        </is>
      </c>
      <c r="B29" s="56" t="n">
        <v>7</v>
      </c>
    </row>
    <row r="30">
      <c r="A30" s="8" t="inlineStr">
        <is>
          <t>Years until the floor without the loss</t>
        </is>
      </c>
      <c r="B30" s="56" t="n">
        <v>9</v>
      </c>
    </row>
    <row r="31">
      <c r="A31" s="8" t="inlineStr">
        <is>
          <t>Program capacity retained</t>
        </is>
      </c>
      <c r="B31" s="19" t="n">
        <v>1</v>
      </c>
    </row>
    <row r="33" ht="18" customHeight="1">
      <c r="A33" s="6" t="inlineStr">
        <is>
          <t>Two different funding floors</t>
        </is>
      </c>
      <c r="B33" s="7" t="n"/>
      <c r="C33" s="7" t="n"/>
      <c r="D33" s="7" t="n"/>
      <c r="E33" s="7" t="n"/>
      <c r="F33" s="7" t="n"/>
      <c r="G33" s="7" t="n"/>
      <c r="H33" s="7" t="n"/>
      <c r="I33" s="7" t="n"/>
    </row>
    <row r="34" ht="52" customHeight="1">
      <c r="A34" s="21" t="inlineStr">
        <is>
          <t>These answer different questions and quoting either one alone is misleading. The reserve threshold is how far funding can fall before the balance sheet forces a program cut. The structural threshold is the funding level at which the organization stops breaking even at all. The gap between them is the time the balance sheet buys management to fix an income statement problem.</t>
        </is>
      </c>
    </row>
    <row r="35">
      <c r="A35" s="31" t="inlineStr">
        <is>
          <t>Reserve threshold: maximum sustainable funding cut</t>
        </is>
      </c>
      <c r="B35" s="41" t="n">
        <v>0.3158160781160292</v>
      </c>
    </row>
    <row r="36">
      <c r="A36" s="27" t="inlineStr">
        <is>
          <t xml:space="preserve">  contributions at that level, FY2025</t>
        </is>
      </c>
      <c r="B36" s="37" t="n">
        <v>17198262.94300064</v>
      </c>
    </row>
    <row r="37">
      <c r="A37" s="27" t="inlineStr">
        <is>
          <t xml:space="preserve">  headroom below the Base case</t>
        </is>
      </c>
      <c r="B37" s="37" t="n">
        <v>7938637.227999363</v>
      </c>
    </row>
    <row r="38">
      <c r="A38" s="31" t="inlineStr">
        <is>
          <t>Structural threshold: funding uplift needed to break even by FY2029</t>
        </is>
      </c>
      <c r="B38" s="41" t="n">
        <v>0.06245080201897325</v>
      </c>
    </row>
    <row r="39">
      <c r="A39" s="31" t="inlineStr">
        <is>
          <t>Base case turns to deficit in</t>
        </is>
      </c>
      <c r="B39" s="57" t="n">
        <v>2029</v>
      </c>
    </row>
    <row r="40">
      <c r="A40" s="27" t="inlineStr">
        <is>
          <t xml:space="preserve">  deficit in that year</t>
        </is>
      </c>
      <c r="B40" s="37" t="n">
        <v>1583647.045625627</v>
      </c>
    </row>
    <row r="41">
      <c r="A41" s="31" t="inlineStr">
        <is>
          <t>Years of reserve at Base case with no shock</t>
        </is>
      </c>
      <c r="B41" s="57" t="n">
        <v>9</v>
      </c>
    </row>
    <row r="43" ht="18" customHeight="1">
      <c r="A43" s="6" t="inlineStr">
        <is>
          <t>The expense lever, Downside case</t>
        </is>
      </c>
      <c r="B43" s="7" t="n"/>
      <c r="C43" s="7" t="n"/>
      <c r="D43" s="7" t="n"/>
      <c r="E43" s="7" t="n"/>
      <c r="F43" s="7" t="n"/>
      <c r="G43" s="7" t="n"/>
      <c r="H43" s="7" t="n"/>
      <c r="I43" s="7" t="n"/>
    </row>
    <row r="44">
      <c r="A44" s="58" t="inlineStr">
        <is>
          <t>Expense reduction needed to hold the floor</t>
        </is>
      </c>
      <c r="B44" s="19" t="n">
        <v>0</v>
      </c>
    </row>
    <row r="45">
      <c r="A45" s="58" t="inlineStr">
        <is>
          <t>Lowest runway reached</t>
        </is>
      </c>
      <c r="B45" s="38" t="n">
        <v>18.41441725489591</v>
      </c>
    </row>
    <row r="46">
      <c r="A46" s="58" t="inlineStr">
        <is>
          <t>In fiscal year</t>
        </is>
      </c>
      <c r="B46" s="56" t="n">
        <v>2029</v>
      </c>
    </row>
    <row r="47">
      <c r="A47" s="58" t="inlineStr">
        <is>
          <t>FY2029 structural result</t>
        </is>
      </c>
      <c r="B47" s="37" t="n">
        <v>-7005577.699710663</v>
      </c>
    </row>
    <row r="49" ht="52" customHeight="1">
      <c r="A49" s="21" t="inlineStr">
        <is>
          <t>Even the Downside case does not force a cut within five years: the lowest runway reached is 18.4 months against a six-month floor. That is genuine resilience and it should be said plainly. It is also the reason a five-year horizon was used - on a three-year view every scenario looks safe, and the FY2029 structural deficit of $7,005,578 would never appear.</t>
        </is>
      </c>
    </row>
  </sheetData>
  <mergeCells count="2">
    <mergeCell ref="A34:I34"/>
    <mergeCell ref="A49:I49"/>
  </mergeCells>
  <conditionalFormatting sqref="B10:G10">
    <cfRule type="colorScale" priority="1">
      <colorScale>
        <cfvo type="num" val="0"/>
        <cfvo type="num" val="12"/>
        <cfvo type="num" val="3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2026-09-10T18:12:46Z</dcterms:created>
  <dcterms:modified xmlns:dcterms="http://purl.org/dc/terms/" xmlns:xsi="http://www.w3.org/2001/XMLSchema-instance" xsi:type="dcterms:W3CDTF">2026-09-10T18:12:46Z</dcterms:modified>
</cp:coreProperties>
</file>