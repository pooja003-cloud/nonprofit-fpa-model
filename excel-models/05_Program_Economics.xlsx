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 data" sheetId="1" state="visible" r:id="rId1"/>
    <sheet xmlns:r="http://schemas.openxmlformats.org/officeDocument/2006/relationships" name="Program inputs" sheetId="2" state="visible" r:id="rId2"/>
    <sheet xmlns:r="http://schemas.openxmlformats.org/officeDocument/2006/relationships" name="Program comparison" sheetId="3" state="visible" r:id="rId3"/>
    <sheet xmlns:r="http://schemas.openxmlformats.org/officeDocument/2006/relationships" name="Calibration check" sheetId="4" state="visible" r:id="rId4"/>
    <sheet xmlns:r="http://schemas.openxmlformats.org/officeDocument/2006/relationships" name="Program economics" sheetId="5" state="visible" r:id="rId5"/>
    <sheet xmlns:r="http://schemas.openxmlformats.org/officeDocument/2006/relationships" name="Social return (caveated)" sheetId="6" state="visible" r:id="rId6"/>
  </sheets>
  <definedNames/>
  <calcPr calcId="124519" fullCalcOnLoad="1"/>
</workbook>
</file>

<file path=xl/styles.xml><?xml version="1.0" encoding="utf-8"?>
<styleSheet xmlns="http://schemas.openxmlformats.org/spreadsheetml/2006/main">
  <numFmts count="6">
    <numFmt numFmtId="164" formatCode="#,##0;[Red](#,##0);&quot;-&quot;"/>
    <numFmt numFmtId="165" formatCode="0.0%;[Red](0.0%);&quot;-&quot;"/>
    <numFmt numFmtId="166" formatCode="#,##0.0;[Red](#,##0.0);&quot;-&quot;"/>
    <numFmt numFmtId="167" formatCode="#,##0.00;[Red](#,##0.00);&quot;-&quot;"/>
    <numFmt numFmtId="168" formatCode="0.00&quot;x&quot;"/>
    <numFmt numFmtId="169" formatCode="0.00%;[Red](0.00%);&quot;-&quot;"/>
  </numFmts>
  <fonts count="19">
    <font>
      <name val="Calibri"/>
      <family val="2"/>
      <color theme="1"/>
      <sz val="11"/>
      <scheme val="minor"/>
    </font>
    <font>
      <name val="Calibri"/>
      <b val="1"/>
      <color rgb="0012324F"/>
      <sz val="15"/>
    </font>
    <font>
      <name val="Calibri"/>
      <i val="1"/>
      <color rgb="005F6B7A"/>
      <sz val="9.5"/>
    </font>
    <font>
      <name val="Calibri"/>
      <b val="1"/>
      <color rgb="0012324F"/>
      <sz val="10"/>
    </font>
    <font>
      <name val="Calibri"/>
      <b val="1"/>
      <color rgb="00FFFFFF"/>
      <sz val="11"/>
    </font>
    <font>
      <name val="Calibri"/>
      <color rgb="001A1A1A"/>
      <sz val="9.5"/>
    </font>
    <font>
      <name val="Calibri"/>
      <color rgb="000033CC"/>
      <sz val="10"/>
    </font>
    <font>
      <name val="Calibri"/>
      <b val="1"/>
      <color rgb="00FFFFFF"/>
      <sz val="8.5"/>
    </font>
    <font>
      <name val="Calibri"/>
      <b val="1"/>
      <color rgb="001A1A1A"/>
      <sz val="9.5"/>
    </font>
    <font>
      <name val="Calibri"/>
      <b val="1"/>
      <color rgb="000033CC"/>
      <sz val="10"/>
    </font>
    <font>
      <name val="Calibri"/>
      <b val="1"/>
      <color rgb="001A1A1A"/>
      <sz val="10"/>
    </font>
    <font>
      <name val="Calibri"/>
      <b val="1"/>
      <sz val="10"/>
    </font>
    <font>
      <name val="Calibri"/>
      <sz val="10"/>
    </font>
    <font>
      <name val="Calibri"/>
      <color rgb="001A1A1A"/>
      <sz val="10"/>
    </font>
    <font>
      <name val="Calibri"/>
      <i val="1"/>
      <color rgb="005F6B7A"/>
      <sz val="9"/>
    </font>
    <font>
      <name val="Calibri"/>
      <color rgb="005F6B7A"/>
      <sz val="8.5"/>
    </font>
    <font>
      <name val="Calibri"/>
      <color rgb="001A1A1A"/>
      <sz val="9"/>
    </font>
    <font>
      <name val="Calibri"/>
      <i val="1"/>
      <color rgb="009A3412"/>
      <sz val="8.5"/>
    </font>
    <font>
      <name val="Calibri"/>
      <b val="1"/>
      <color rgb="00FFFFFF"/>
      <sz val="10"/>
    </font>
  </fonts>
  <fills count="8">
    <fill>
      <patternFill/>
    </fill>
    <fill>
      <patternFill patternType="gray125"/>
    </fill>
    <fill>
      <patternFill patternType="solid">
        <fgColor rgb="00E8EEF4"/>
      </patternFill>
    </fill>
    <fill>
      <patternFill patternType="solid">
        <fgColor rgb="0012324F"/>
      </patternFill>
    </fill>
    <fill>
      <patternFill patternType="solid">
        <fgColor rgb="001B5E20"/>
      </patternFill>
    </fill>
    <fill>
      <patternFill patternType="solid">
        <fgColor rgb="000D47A1"/>
      </patternFill>
    </fill>
    <fill>
      <patternFill patternType="solid">
        <fgColor rgb="00B71C1C"/>
      </patternFill>
    </fill>
    <fill>
      <patternFill patternType="solid">
        <fgColor rgb="009A3412"/>
      </patternFill>
    </fill>
  </fills>
  <borders count="4">
    <border>
      <left/>
      <right/>
      <top/>
      <bottom/>
      <diagonal/>
    </border>
    <border>
      <bottom style="medium">
        <color rgb="0012324F"/>
      </bottom>
    </border>
    <border>
      <left style="thin">
        <color rgb="00C7D2DC"/>
      </left>
      <right style="thin">
        <color rgb="00C7D2DC"/>
      </right>
      <top style="thin">
        <color rgb="00C7D2DC"/>
      </top>
      <bottom style="medium">
        <color rgb="0012324F"/>
      </bottom>
    </border>
    <border>
      <top style="thin">
        <color rgb="0012324F"/>
      </top>
      <bottom style="double">
        <color rgb="0012324F"/>
      </bottom>
    </border>
  </borders>
  <cellStyleXfs count="1">
    <xf numFmtId="0" fontId="0" fillId="0" borderId="0"/>
  </cellStyleXfs>
  <cellXfs count="59">
    <xf numFmtId="0" fontId="0" fillId="0" borderId="0" pivotButton="0" quotePrefix="0" xfId="0"/>
    <xf numFmtId="0" fontId="1" fillId="0" borderId="0" applyAlignment="1" pivotButton="0" quotePrefix="0" xfId="0">
      <alignment vertical="center"/>
    </xf>
    <xf numFmtId="0" fontId="2" fillId="0" borderId="0" applyAlignment="1" pivotButton="0" quotePrefix="0" xfId="0">
      <alignment vertical="top"/>
    </xf>
    <xf numFmtId="0" fontId="0" fillId="0" borderId="1" pivotButton="0" quotePrefix="0" xfId="0"/>
    <xf numFmtId="0" fontId="3" fillId="2" borderId="2" applyAlignment="1" pivotButton="0" quotePrefix="0" xfId="0">
      <alignment horizontal="left" vertical="center" wrapText="1"/>
    </xf>
    <xf numFmtId="0" fontId="3" fillId="2" borderId="2" applyAlignment="1" pivotButton="0" quotePrefix="0" xfId="0">
      <alignment horizontal="center" vertical="center" wrapText="1"/>
    </xf>
    <xf numFmtId="0" fontId="4" fillId="3" borderId="0" pivotButton="0" quotePrefix="0" xfId="0"/>
    <xf numFmtId="0" fontId="0" fillId="3" borderId="0" pivotButton="0" quotePrefix="0" xfId="0"/>
    <xf numFmtId="0" fontId="5" fillId="0" borderId="0" applyAlignment="1" pivotButton="0" quotePrefix="0" xfId="0">
      <alignment horizontal="left" vertical="center" indent="1"/>
    </xf>
    <xf numFmtId="164" fontId="6" fillId="0" borderId="0" applyAlignment="1" pivotButton="0" quotePrefix="0" xfId="0">
      <alignment horizontal="right" vertical="center"/>
    </xf>
    <xf numFmtId="0" fontId="7" fillId="4" borderId="0" applyAlignment="1" pivotButton="0" quotePrefix="0" xfId="0">
      <alignment horizontal="center" vertical="center"/>
    </xf>
    <xf numFmtId="0" fontId="7" fillId="5" borderId="0" applyAlignment="1" pivotButton="0" quotePrefix="0" xfId="0">
      <alignment horizontal="center" vertical="center"/>
    </xf>
    <xf numFmtId="0" fontId="8" fillId="0" borderId="0" applyAlignment="1" pivotButton="0" quotePrefix="0" xfId="0">
      <alignment horizontal="left" vertical="center" indent="1"/>
    </xf>
    <xf numFmtId="164" fontId="9" fillId="0" borderId="0" applyAlignment="1" pivotButton="0" quotePrefix="0" xfId="0">
      <alignment horizontal="right" vertical="center"/>
    </xf>
    <xf numFmtId="0" fontId="10" fillId="0" borderId="0" applyAlignment="1" pivotButton="0" quotePrefix="0" xfId="0">
      <alignment horizontal="left" vertical="center" indent="1"/>
    </xf>
    <xf numFmtId="164" fontId="11" fillId="0" borderId="0" applyAlignment="1" pivotButton="0" quotePrefix="0" xfId="0">
      <alignment horizontal="right"/>
    </xf>
    <xf numFmtId="165" fontId="6" fillId="0" borderId="0" applyAlignment="1" pivotButton="0" quotePrefix="0" xfId="0">
      <alignment horizontal="right" vertical="center"/>
    </xf>
    <xf numFmtId="0" fontId="7" fillId="6" borderId="0" applyAlignment="1" pivotButton="0" quotePrefix="0" xfId="0">
      <alignment horizontal="center" vertical="center"/>
    </xf>
    <xf numFmtId="164" fontId="12" fillId="0" borderId="0" applyAlignment="1" pivotButton="0" quotePrefix="0" xfId="0">
      <alignment horizontal="right"/>
    </xf>
    <xf numFmtId="165" fontId="13" fillId="0" borderId="0" applyAlignment="1" pivotButton="0" quotePrefix="0" xfId="0">
      <alignment horizontal="right" vertical="center"/>
    </xf>
    <xf numFmtId="166" fontId="13" fillId="0" borderId="0" applyAlignment="1" pivotButton="0" quotePrefix="0" xfId="0">
      <alignment horizontal="right" vertical="center"/>
    </xf>
    <xf numFmtId="0" fontId="14" fillId="0" borderId="0" applyAlignment="1" pivotButton="0" quotePrefix="0" xfId="0">
      <alignment vertical="top" wrapText="1"/>
    </xf>
    <xf numFmtId="164" fontId="3" fillId="0" borderId="0" applyAlignment="1" pivotButton="0" quotePrefix="0" xfId="0">
      <alignment horizontal="right"/>
    </xf>
    <xf numFmtId="0" fontId="15" fillId="0" borderId="0" applyAlignment="1" pivotButton="0" quotePrefix="0" xfId="0">
      <alignment vertical="top" wrapText="1"/>
    </xf>
    <xf numFmtId="166" fontId="6" fillId="0" borderId="0" applyAlignment="1" pivotButton="0" quotePrefix="0" xfId="0">
      <alignment horizontal="right" vertical="center"/>
    </xf>
    <xf numFmtId="167" fontId="0" fillId="0" borderId="0" applyAlignment="1" pivotButton="0" quotePrefix="0" xfId="0">
      <alignment horizontal="right"/>
    </xf>
    <xf numFmtId="0" fontId="11" fillId="0" borderId="0" applyAlignment="1" pivotButton="0" quotePrefix="0" xfId="0">
      <alignment horizontal="center"/>
    </xf>
    <xf numFmtId="0" fontId="16" fillId="0" borderId="0" applyAlignment="1" pivotButton="0" quotePrefix="0" xfId="0">
      <alignment vertical="top" wrapText="1"/>
    </xf>
    <xf numFmtId="0" fontId="17" fillId="0" borderId="0" applyAlignment="1" pivotButton="0" quotePrefix="0" xfId="0">
      <alignment vertical="top" wrapText="1"/>
    </xf>
    <xf numFmtId="0" fontId="13" fillId="0" borderId="0" applyAlignment="1" pivotButton="0" quotePrefix="0" xfId="0">
      <alignment horizontal="left" vertical="center" indent="1"/>
    </xf>
    <xf numFmtId="167" fontId="12" fillId="0" borderId="0" applyAlignment="1" pivotButton="0" quotePrefix="0" xfId="0">
      <alignment horizontal="right"/>
    </xf>
    <xf numFmtId="165" fontId="12" fillId="0" borderId="0" applyAlignment="1" pivotButton="0" quotePrefix="0" xfId="0">
      <alignment horizontal="right"/>
    </xf>
    <xf numFmtId="168" fontId="12" fillId="0" borderId="0" applyAlignment="1" pivotButton="0" quotePrefix="0" xfId="0">
      <alignment horizontal="right"/>
    </xf>
    <xf numFmtId="0" fontId="3" fillId="0" borderId="3" applyAlignment="1" pivotButton="0" quotePrefix="0" xfId="0">
      <alignment horizontal="left" vertical="center"/>
    </xf>
    <xf numFmtId="164" fontId="3" fillId="0" borderId="3" applyAlignment="1" pivotButton="0" quotePrefix="0" xfId="0">
      <alignment horizontal="right"/>
    </xf>
    <xf numFmtId="167" fontId="3" fillId="0" borderId="3" applyAlignment="1" pivotButton="0" quotePrefix="0" xfId="0">
      <alignment horizontal="right"/>
    </xf>
    <xf numFmtId="165" fontId="3" fillId="0" borderId="3" applyAlignment="1" pivotButton="0" quotePrefix="0" xfId="0">
      <alignment horizontal="right"/>
    </xf>
    <xf numFmtId="168" fontId="3" fillId="0" borderId="3" applyAlignment="1" pivotButton="0" quotePrefix="0" xfId="0">
      <alignment horizontal="right"/>
    </xf>
    <xf numFmtId="1" fontId="12" fillId="0" borderId="0" applyAlignment="1" pivotButton="0" quotePrefix="0" xfId="0">
      <alignment horizontal="center"/>
    </xf>
    <xf numFmtId="1" fontId="3" fillId="0" borderId="0" applyAlignment="1" pivotButton="0" quotePrefix="0" xfId="0">
      <alignment horizontal="center"/>
    </xf>
    <xf numFmtId="0" fontId="5" fillId="0" borderId="0" applyAlignment="1" pivotButton="0" quotePrefix="0" xfId="0">
      <alignment vertical="top" wrapText="1"/>
    </xf>
    <xf numFmtId="164" fontId="0" fillId="0" borderId="0" applyAlignment="1" pivotButton="0" quotePrefix="0" xfId="0">
      <alignment horizontal="right"/>
    </xf>
    <xf numFmtId="169" fontId="0" fillId="0" borderId="0" applyAlignment="1" pivotButton="0" quotePrefix="0" xfId="0">
      <alignment horizontal="right"/>
    </xf>
    <xf numFmtId="166" fontId="0" fillId="0" borderId="0" applyAlignment="1" pivotButton="0" quotePrefix="0" xfId="0">
      <alignment horizontal="right"/>
    </xf>
    <xf numFmtId="165" fontId="0" fillId="0" borderId="0" applyAlignment="1" pivotButton="0" quotePrefix="0" xfId="0">
      <alignment horizontal="right"/>
    </xf>
    <xf numFmtId="164" fontId="3" fillId="2" borderId="0" applyAlignment="1" pivotButton="0" quotePrefix="0" xfId="0">
      <alignment horizontal="right"/>
    </xf>
    <xf numFmtId="166" fontId="12" fillId="0" borderId="0" applyAlignment="1" pivotButton="0" quotePrefix="0" xfId="0">
      <alignment horizontal="right"/>
    </xf>
    <xf numFmtId="166" fontId="3" fillId="2" borderId="0" applyAlignment="1" pivotButton="0" quotePrefix="0" xfId="0">
      <alignment horizontal="right"/>
    </xf>
    <xf numFmtId="165" fontId="3" fillId="2" borderId="0" applyAlignment="1" pivotButton="0" quotePrefix="0" xfId="0">
      <alignment horizontal="right"/>
    </xf>
    <xf numFmtId="167" fontId="3" fillId="2" borderId="0" applyAlignment="1" pivotButton="0" quotePrefix="0" xfId="0">
      <alignment horizontal="right"/>
    </xf>
    <xf numFmtId="0" fontId="10" fillId="0" borderId="0" applyAlignment="1" pivotButton="0" quotePrefix="0" xfId="0">
      <alignment horizontal="left" vertical="center"/>
    </xf>
    <xf numFmtId="167" fontId="11" fillId="0" borderId="0" applyAlignment="1" pivotButton="0" quotePrefix="0" xfId="0">
      <alignment horizontal="right"/>
    </xf>
    <xf numFmtId="168" fontId="3" fillId="2" borderId="0" applyAlignment="1" pivotButton="0" quotePrefix="0" xfId="0">
      <alignment horizontal="right"/>
    </xf>
    <xf numFmtId="0" fontId="18" fillId="7" borderId="0" applyAlignment="1" pivotButton="0" quotePrefix="0" xfId="0">
      <alignment vertical="center" wrapText="1"/>
    </xf>
    <xf numFmtId="3" fontId="6" fillId="0" borderId="0" applyAlignment="1" pivotButton="0" quotePrefix="0" xfId="0">
      <alignment horizontal="right" vertical="center"/>
    </xf>
    <xf numFmtId="164" fontId="13" fillId="0" borderId="0" applyAlignment="1" pivotButton="0" quotePrefix="0" xfId="0">
      <alignment horizontal="right" vertical="center"/>
    </xf>
    <xf numFmtId="164" fontId="10" fillId="0" borderId="0" applyAlignment="1" pivotButton="0" quotePrefix="0" xfId="0">
      <alignment horizontal="right" vertical="center"/>
    </xf>
    <xf numFmtId="168" fontId="13" fillId="0" borderId="0" applyAlignment="1" pivotButton="0" quotePrefix="0" xfId="0">
      <alignment horizontal="right" vertical="center"/>
    </xf>
    <xf numFmtId="168" fontId="10" fillId="0" borderId="0"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Cost per successful outcome</a:t>
            </a:r>
          </a:p>
        </rich>
      </tx>
    </title>
    <plotArea>
      <barChart>
        <barDir val="col"/>
        <grouping val="clustered"/>
        <ser>
          <idx val="0"/>
          <order val="0"/>
          <tx>
            <v>Cost per outcome</v>
          </tx>
          <spPr>
            <a:ln xmlns:a="http://schemas.openxmlformats.org/drawingml/2006/main">
              <a:prstDash val="solid"/>
            </a:ln>
          </spPr>
          <cat>
            <numRef>
              <f>'Program comparison'!$A$5:$A$8</f>
            </numRef>
          </cat>
          <val>
            <numRef>
              <f>'Program comparison'!$F$5:$F$8</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numFmt formatCode="$#,##0" sourceLinked="0"/>
        <majorTickMark val="none"/>
        <minorTickMark val="none"/>
        <crossAx val="10"/>
      </valAx>
    </plotArea>
    <legend>
      <legendPos val="r"/>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First-year earnings gain per dollar of program cost</a:t>
            </a:r>
          </a:p>
        </rich>
      </tx>
    </title>
    <plotArea>
      <barChart>
        <barDir val="col"/>
        <grouping val="clustered"/>
        <ser>
          <idx val="0"/>
          <order val="0"/>
          <tx>
            <v>Gain per $</v>
          </tx>
          <spPr>
            <a:ln xmlns:a="http://schemas.openxmlformats.org/drawingml/2006/main">
              <a:prstDash val="solid"/>
            </a:ln>
          </spPr>
          <cat>
            <numRef>
              <f>'Program comparison'!$A$5:$A$8</f>
            </numRef>
          </cat>
          <val>
            <numRef>
              <f>'Program comparison'!$H$5:$H$8</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oneCellAnchor>
    <from>
      <col>0</col>
      <colOff>0</colOff>
      <row>19</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0</col>
      <colOff>0</colOff>
      <row>36</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tabColor rgb="005F6B7A"/>
    <outlinePr summaryBelow="1" summaryRight="1"/>
    <pageSetUpPr/>
  </sheetPr>
  <dimension ref="A1:I41"/>
  <sheetViews>
    <sheetView showGridLines="0"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 width="11" customWidth="1" min="8" max="8"/>
    <col width="54" customWidth="1" min="9" max="9"/>
  </cols>
  <sheetData>
    <row r="1" ht="24" customHeight="1">
      <c r="A1" s="1" t="inlineStr">
        <is>
          <t>Source data</t>
        </is>
      </c>
    </row>
    <row r="2">
      <c r="A2" s="2" t="inlineStr">
        <is>
          <t>Upwardly Global, EIN 94-3346127. Public Form 990 figures and the modelled splits this workbook depends on. Restated here so the file stands alone.</t>
        </is>
      </c>
    </row>
    <row r="3">
      <c r="A3" s="3" t="n"/>
      <c r="B3" s="3" t="n"/>
      <c r="C3" s="3" t="n"/>
      <c r="D3" s="3" t="n"/>
      <c r="E3" s="3" t="n"/>
      <c r="F3" s="3" t="n"/>
      <c r="G3" s="3" t="n"/>
      <c r="H3" s="3" t="n"/>
      <c r="I3" s="3" t="n"/>
    </row>
    <row r="4" ht="30" customHeight="1">
      <c r="A4" s="4" t="inlineStr">
        <is>
          <t>Line</t>
        </is>
      </c>
      <c r="B4" s="5" t="inlineStr">
        <is>
          <t>FY2019</t>
        </is>
      </c>
      <c r="C4" s="5" t="inlineStr">
        <is>
          <t>FY2020</t>
        </is>
      </c>
      <c r="D4" s="5" t="inlineStr">
        <is>
          <t>FY2021</t>
        </is>
      </c>
      <c r="E4" s="5" t="inlineStr">
        <is>
          <t>FY2022</t>
        </is>
      </c>
      <c r="F4" s="5" t="inlineStr">
        <is>
          <t>FY2023</t>
        </is>
      </c>
      <c r="G4" s="5" t="inlineStr">
        <is>
          <t>FY2024</t>
        </is>
      </c>
      <c r="H4" s="5" t="inlineStr">
        <is>
          <t>Tier</t>
        </is>
      </c>
      <c r="I4" s="5" t="inlineStr">
        <is>
          <t>Note</t>
        </is>
      </c>
    </row>
    <row r="5" ht="18" customHeight="1">
      <c r="A5" s="6" t="inlineStr">
        <is>
          <t>Form 990 as filed</t>
        </is>
      </c>
      <c r="B5" s="7" t="n"/>
      <c r="C5" s="7" t="n"/>
      <c r="D5" s="7" t="n"/>
      <c r="E5" s="7" t="n"/>
      <c r="F5" s="7" t="n"/>
      <c r="G5" s="7" t="n"/>
      <c r="H5" s="7" t="n"/>
      <c r="I5" s="7" t="n"/>
    </row>
    <row r="6">
      <c r="A6" s="8" t="inlineStr">
        <is>
          <t>Contributions and grants</t>
        </is>
      </c>
      <c r="B6" s="9" t="n">
        <v>6528091</v>
      </c>
      <c r="C6" s="9" t="n">
        <v>6738370</v>
      </c>
      <c r="D6" s="9" t="n">
        <v>11624463</v>
      </c>
      <c r="E6" s="9" t="n">
        <v>18348946</v>
      </c>
      <c r="F6" s="9" t="n">
        <v>20709887</v>
      </c>
      <c r="G6" s="9" t="n">
        <v>26008174</v>
      </c>
      <c r="H6" s="10" t="inlineStr">
        <is>
          <t>PUBLIC</t>
        </is>
      </c>
    </row>
    <row r="7">
      <c r="A7" s="8" t="inlineStr">
        <is>
          <t>Program service revenue</t>
        </is>
      </c>
      <c r="B7" s="9" t="n">
        <v>353671</v>
      </c>
      <c r="C7" s="9" t="n">
        <v>304509</v>
      </c>
      <c r="D7" s="9" t="n">
        <v>383141</v>
      </c>
      <c r="E7" s="9" t="n">
        <v>1064285</v>
      </c>
      <c r="F7" s="9" t="n">
        <v>1066130</v>
      </c>
      <c r="G7" s="9" t="n">
        <v>1143216</v>
      </c>
      <c r="H7" s="10" t="inlineStr">
        <is>
          <t>PUBLIC</t>
        </is>
      </c>
    </row>
    <row r="8">
      <c r="A8" s="8" t="inlineStr">
        <is>
          <t>Investment and other income</t>
        </is>
      </c>
      <c r="B8" s="9" t="n">
        <v>3602</v>
      </c>
      <c r="C8" s="9" t="n">
        <v>21624</v>
      </c>
      <c r="D8" s="9" t="n">
        <v>237</v>
      </c>
      <c r="E8" s="9" t="n">
        <v>14416</v>
      </c>
      <c r="F8" s="9" t="n">
        <v>672813</v>
      </c>
      <c r="G8" s="9" t="n">
        <v>1429021</v>
      </c>
      <c r="H8" s="10" t="inlineStr">
        <is>
          <t>PUBLIC</t>
        </is>
      </c>
    </row>
    <row r="9">
      <c r="A9" s="8" t="inlineStr">
        <is>
          <t>Less: fundraising event costs and asset-sale losses</t>
        </is>
      </c>
      <c r="B9" s="9" t="n">
        <v>-135303</v>
      </c>
      <c r="C9" s="9" t="n">
        <v>-48199</v>
      </c>
      <c r="D9" s="9" t="n">
        <v>-34318</v>
      </c>
      <c r="E9" s="9" t="n">
        <v>-121695</v>
      </c>
      <c r="F9" s="9" t="n">
        <v>-57789</v>
      </c>
      <c r="G9" s="9" t="n">
        <v>0</v>
      </c>
      <c r="H9" s="11" t="inlineStr">
        <is>
          <t>DERIVED</t>
        </is>
      </c>
    </row>
    <row r="10">
      <c r="A10" s="12" t="inlineStr">
        <is>
          <t>Total revenue</t>
        </is>
      </c>
      <c r="B10" s="13" t="n">
        <v>6750061</v>
      </c>
      <c r="C10" s="13" t="n">
        <v>7016304</v>
      </c>
      <c r="D10" s="13" t="n">
        <v>11973523</v>
      </c>
      <c r="E10" s="13" t="n">
        <v>19305952</v>
      </c>
      <c r="F10" s="13" t="n">
        <v>22391041</v>
      </c>
      <c r="G10" s="13" t="n">
        <v>28580411</v>
      </c>
      <c r="H10" s="10" t="inlineStr">
        <is>
          <t>PUBLIC</t>
        </is>
      </c>
    </row>
    <row r="11">
      <c r="A11" s="12" t="inlineStr">
        <is>
          <t>Total functional expenses</t>
        </is>
      </c>
      <c r="B11" s="13" t="n">
        <v>5531091</v>
      </c>
      <c r="C11" s="13" t="n">
        <v>5670504</v>
      </c>
      <c r="D11" s="13" t="n">
        <v>6893690</v>
      </c>
      <c r="E11" s="13" t="n">
        <v>9316393</v>
      </c>
      <c r="F11" s="13" t="n">
        <v>13659379</v>
      </c>
      <c r="G11" s="13" t="n">
        <v>18275646</v>
      </c>
      <c r="H11" s="10" t="inlineStr">
        <is>
          <t>PUBLIC</t>
        </is>
      </c>
    </row>
    <row r="12">
      <c r="A12" s="8" t="inlineStr">
        <is>
          <t>Officer compensation</t>
        </is>
      </c>
      <c r="B12" s="9" t="n">
        <v>336307</v>
      </c>
      <c r="C12" s="9" t="n">
        <v>348404</v>
      </c>
      <c r="D12" s="9" t="n">
        <v>537859</v>
      </c>
      <c r="E12" s="9" t="n">
        <v>642262</v>
      </c>
      <c r="F12" s="9" t="n">
        <v>502983</v>
      </c>
      <c r="G12" s="9" t="n">
        <v>1026038</v>
      </c>
      <c r="H12" s="10" t="inlineStr">
        <is>
          <t>PUBLIC</t>
        </is>
      </c>
    </row>
    <row r="13">
      <c r="A13" s="8" t="inlineStr">
        <is>
          <t>Other salaries and wages</t>
        </is>
      </c>
      <c r="B13" s="9" t="n">
        <v>3257098</v>
      </c>
      <c r="C13" s="9" t="n">
        <v>3406913</v>
      </c>
      <c r="D13" s="9" t="n">
        <v>3755210</v>
      </c>
      <c r="E13" s="9" t="n">
        <v>5321071</v>
      </c>
      <c r="F13" s="9" t="n">
        <v>7253251</v>
      </c>
      <c r="G13" s="9" t="n">
        <v>9234306</v>
      </c>
      <c r="H13" s="10" t="inlineStr">
        <is>
          <t>PUBLIC</t>
        </is>
      </c>
    </row>
    <row r="14">
      <c r="A14" s="8" t="inlineStr">
        <is>
          <t>Payroll taxes</t>
        </is>
      </c>
      <c r="B14" s="9" t="n">
        <v>283482</v>
      </c>
      <c r="C14" s="9" t="n">
        <v>290730</v>
      </c>
      <c r="D14" s="9" t="n">
        <v>339149</v>
      </c>
      <c r="E14" s="9" t="n">
        <v>454590</v>
      </c>
      <c r="F14" s="9" t="n">
        <v>606465</v>
      </c>
      <c r="G14" s="9" t="n">
        <v>800307</v>
      </c>
      <c r="H14" s="10" t="inlineStr">
        <is>
          <t>PUBLIC</t>
        </is>
      </c>
    </row>
    <row r="15">
      <c r="A15" s="8" t="inlineStr">
        <is>
          <t>Total assets</t>
        </is>
      </c>
      <c r="B15" s="9" t="n">
        <v>4915534</v>
      </c>
      <c r="C15" s="9" t="n">
        <v>7157462</v>
      </c>
      <c r="D15" s="9" t="n">
        <v>12593796</v>
      </c>
      <c r="E15" s="9" t="n">
        <v>23406064</v>
      </c>
      <c r="F15" s="9" t="n">
        <v>31782416</v>
      </c>
      <c r="G15" s="9" t="n">
        <v>42583791</v>
      </c>
      <c r="H15" s="10" t="inlineStr">
        <is>
          <t>PUBLIC</t>
        </is>
      </c>
    </row>
    <row r="16">
      <c r="A16" s="8" t="inlineStr">
        <is>
          <t>Total liabilities</t>
        </is>
      </c>
      <c r="B16" s="9" t="n">
        <v>461151</v>
      </c>
      <c r="C16" s="9" t="n">
        <v>1357279</v>
      </c>
      <c r="D16" s="9" t="n">
        <v>1713780</v>
      </c>
      <c r="E16" s="9" t="n">
        <v>2536489</v>
      </c>
      <c r="F16" s="9" t="n">
        <v>2181179</v>
      </c>
      <c r="G16" s="9" t="n">
        <v>2676737</v>
      </c>
      <c r="H16" s="10" t="inlineStr">
        <is>
          <t>PUBLIC</t>
        </is>
      </c>
    </row>
    <row r="17">
      <c r="A17" s="14" t="inlineStr">
        <is>
          <t>Net assets</t>
        </is>
      </c>
      <c r="B17" s="15">
        <f>B15-B16</f>
        <v/>
      </c>
      <c r="C17" s="15">
        <f>C15-C16</f>
        <v/>
      </c>
      <c r="D17" s="15">
        <f>D15-D16</f>
        <v/>
      </c>
      <c r="E17" s="15">
        <f>E15-E16</f>
        <v/>
      </c>
      <c r="F17" s="15">
        <f>F15-F16</f>
        <v/>
      </c>
      <c r="G17" s="15">
        <f>G15-G16</f>
        <v/>
      </c>
      <c r="H17" s="11" t="inlineStr">
        <is>
          <t>DERIVED</t>
        </is>
      </c>
    </row>
    <row r="19" ht="18" customHeight="1">
      <c r="A19" s="6" t="inlineStr">
        <is>
          <t>Modelled functional expense split</t>
        </is>
      </c>
      <c r="B19" s="7" t="n"/>
      <c r="C19" s="7" t="n"/>
      <c r="D19" s="7" t="n"/>
      <c r="E19" s="7" t="n"/>
      <c r="F19" s="7" t="n"/>
      <c r="G19" s="7" t="n"/>
      <c r="H19" s="7" t="n"/>
      <c r="I19" s="7" t="n"/>
    </row>
    <row r="20">
      <c r="A20" s="8" t="inlineStr">
        <is>
          <t>Program services share</t>
        </is>
      </c>
      <c r="B20" s="16" t="n">
        <v>0.762</v>
      </c>
      <c r="C20" s="16" t="n">
        <v>0.768</v>
      </c>
      <c r="D20" s="16" t="n">
        <v>0.774</v>
      </c>
      <c r="E20" s="16" t="n">
        <v>0.78</v>
      </c>
      <c r="F20" s="16" t="n">
        <v>0.783</v>
      </c>
      <c r="G20" s="16" t="n">
        <v>0.785</v>
      </c>
      <c r="H20" s="17" t="inlineStr">
        <is>
          <t>SYNTHETIC</t>
        </is>
      </c>
    </row>
    <row r="21">
      <c r="A21" s="8" t="inlineStr">
        <is>
          <t>Management and general share</t>
        </is>
      </c>
      <c r="B21" s="16" t="n">
        <v>0.14</v>
      </c>
      <c r="C21" s="16" t="n">
        <v>0.137</v>
      </c>
      <c r="D21" s="16" t="n">
        <v>0.134</v>
      </c>
      <c r="E21" s="16" t="n">
        <v>0.129</v>
      </c>
      <c r="F21" s="16" t="n">
        <v>0.124</v>
      </c>
      <c r="G21" s="16" t="n">
        <v>0.12</v>
      </c>
      <c r="H21" s="17" t="inlineStr">
        <is>
          <t>SYNTHETIC</t>
        </is>
      </c>
    </row>
    <row r="22">
      <c r="A22" s="8" t="inlineStr">
        <is>
          <t>Fundraising share</t>
        </is>
      </c>
      <c r="B22" s="16" t="n">
        <v>0.098</v>
      </c>
      <c r="C22" s="16" t="n">
        <v>0.095</v>
      </c>
      <c r="D22" s="16" t="n">
        <v>0.092</v>
      </c>
      <c r="E22" s="16" t="n">
        <v>0.091</v>
      </c>
      <c r="F22" s="16" t="n">
        <v>0.093</v>
      </c>
      <c r="G22" s="16" t="n">
        <v>0.095</v>
      </c>
      <c r="H22" s="17" t="inlineStr">
        <is>
          <t>SYNTHETIC</t>
        </is>
      </c>
    </row>
    <row r="24" ht="18" customHeight="1">
      <c r="A24" s="6" t="inlineStr">
        <is>
          <t>Derived expense lines</t>
        </is>
      </c>
      <c r="B24" s="7" t="n"/>
      <c r="C24" s="7" t="n"/>
      <c r="D24" s="7" t="n"/>
      <c r="E24" s="7" t="n"/>
      <c r="F24" s="7" t="n"/>
      <c r="G24" s="7" t="n"/>
      <c r="H24" s="7" t="n"/>
      <c r="I24" s="7" t="n"/>
    </row>
    <row r="25">
      <c r="A25" s="8" t="inlineStr">
        <is>
          <t>Program services</t>
        </is>
      </c>
      <c r="B25" s="18">
        <f>B11*B20</f>
        <v/>
      </c>
      <c r="C25" s="18">
        <f>C11*C20</f>
        <v/>
      </c>
      <c r="D25" s="18">
        <f>D11*D20</f>
        <v/>
      </c>
      <c r="E25" s="18">
        <f>E11*E20</f>
        <v/>
      </c>
      <c r="F25" s="18">
        <f>F11*F20</f>
        <v/>
      </c>
      <c r="G25" s="18">
        <f>G11*G20</f>
        <v/>
      </c>
    </row>
    <row r="26">
      <c r="A26" s="8" t="inlineStr">
        <is>
          <t>Management and general</t>
        </is>
      </c>
      <c r="B26" s="18">
        <f>B11*B21</f>
        <v/>
      </c>
      <c r="C26" s="18">
        <f>C11*C21</f>
        <v/>
      </c>
      <c r="D26" s="18">
        <f>D11*D21</f>
        <v/>
      </c>
      <c r="E26" s="18">
        <f>E11*E21</f>
        <v/>
      </c>
      <c r="F26" s="18">
        <f>F11*F21</f>
        <v/>
      </c>
      <c r="G26" s="18">
        <f>G11*G21</f>
        <v/>
      </c>
    </row>
    <row r="27">
      <c r="A27" s="8" t="inlineStr">
        <is>
          <t>Fundraising</t>
        </is>
      </c>
      <c r="B27" s="18">
        <f>B11*B22</f>
        <v/>
      </c>
      <c r="C27" s="18">
        <f>C11*C22</f>
        <v/>
      </c>
      <c r="D27" s="18">
        <f>D11*D22</f>
        <v/>
      </c>
      <c r="E27" s="18">
        <f>E11*E22</f>
        <v/>
      </c>
      <c r="F27" s="18">
        <f>F11*F22</f>
        <v/>
      </c>
      <c r="G27" s="18">
        <f>G11*G22</f>
        <v/>
      </c>
    </row>
    <row r="29" ht="18" customHeight="1">
      <c r="A29" s="6" t="inlineStr">
        <is>
          <t>Interpolation anchors (published observations)</t>
        </is>
      </c>
      <c r="B29" s="7" t="n"/>
      <c r="C29" s="7" t="n"/>
      <c r="D29" s="7" t="n"/>
      <c r="E29" s="7" t="n"/>
      <c r="F29" s="7" t="n"/>
      <c r="G29" s="7" t="n"/>
      <c r="H29" s="7" t="n"/>
      <c r="I29" s="7" t="n"/>
    </row>
    <row r="30">
      <c r="A30" s="8" t="inlineStr">
        <is>
          <t>2022 participants</t>
        </is>
      </c>
      <c r="B30" s="9" t="n">
        <v>7041</v>
      </c>
      <c r="H30" s="10" t="inlineStr">
        <is>
          <t>PUBLIC</t>
        </is>
      </c>
    </row>
    <row r="31">
      <c r="A31" s="8" t="inlineStr">
        <is>
          <t>2025 participants</t>
        </is>
      </c>
      <c r="B31" s="9" t="n">
        <v>13350</v>
      </c>
      <c r="H31" s="10" t="inlineStr">
        <is>
          <t>PUBLIC</t>
        </is>
      </c>
    </row>
    <row r="32">
      <c r="A32" s="8" t="inlineStr">
        <is>
          <t>Participant growth per year</t>
        </is>
      </c>
      <c r="B32" s="19">
        <f>(B31/B30)^(1/3)-1</f>
        <v/>
      </c>
      <c r="H32" s="11" t="inlineStr">
        <is>
          <t>DERIVED</t>
        </is>
      </c>
    </row>
    <row r="33">
      <c r="A33" s="8" t="inlineStr">
        <is>
          <t>2022 placements</t>
        </is>
      </c>
      <c r="B33" s="9" t="n">
        <v>1116</v>
      </c>
      <c r="H33" s="10" t="inlineStr">
        <is>
          <t>PUBLIC</t>
        </is>
      </c>
    </row>
    <row r="34">
      <c r="A34" s="8" t="inlineStr">
        <is>
          <t>2025 placements</t>
        </is>
      </c>
      <c r="B34" s="9" t="n">
        <v>1730</v>
      </c>
      <c r="H34" s="10" t="inlineStr">
        <is>
          <t>PUBLIC</t>
        </is>
      </c>
    </row>
    <row r="35">
      <c r="A35" s="8" t="inlineStr">
        <is>
          <t>Placement growth per year</t>
        </is>
      </c>
      <c r="B35" s="19">
        <f>(B34/B33)^(1/3)-1</f>
        <v/>
      </c>
      <c r="H35" s="11" t="inlineStr">
        <is>
          <t>DERIVED</t>
        </is>
      </c>
    </row>
    <row r="37" ht="18" customHeight="1">
      <c r="A37" s="6" t="inlineStr">
        <is>
          <t>Program volume</t>
        </is>
      </c>
      <c r="B37" s="7" t="n"/>
      <c r="C37" s="7" t="n"/>
      <c r="D37" s="7" t="n"/>
      <c r="E37" s="7" t="n"/>
      <c r="F37" s="7" t="n"/>
      <c r="G37" s="7" t="n"/>
      <c r="H37" s="7" t="n"/>
      <c r="I37" s="7" t="n"/>
    </row>
    <row r="38">
      <c r="A38" s="8" t="inlineStr">
        <is>
          <t>Participants served</t>
        </is>
      </c>
      <c r="B38" s="20">
        <f>$B$30*(1+$B$32)^(2019-2022)</f>
        <v/>
      </c>
      <c r="C38" s="20">
        <f>$B$30*(1+$B$32)^(2020-2022)</f>
        <v/>
      </c>
      <c r="D38" s="20">
        <f>$B$30*(1+$B$32)^(2021-2022)</f>
        <v/>
      </c>
      <c r="E38" s="20">
        <f>$B$30*(1+$B$32)^(2022-2022)</f>
        <v/>
      </c>
      <c r="F38" s="20">
        <f>$B$30*(1+$B$32)^(2023-2022)</f>
        <v/>
      </c>
      <c r="G38" s="20">
        <f>$B$30*(1+$B$32)^(2024-2022)</f>
        <v/>
      </c>
      <c r="H38" s="11" t="inlineStr">
        <is>
          <t>DERIVED</t>
        </is>
      </c>
    </row>
    <row r="39">
      <c r="A39" s="8" t="inlineStr">
        <is>
          <t>Successful outcomes</t>
        </is>
      </c>
      <c r="B39" s="20">
        <f>$B$33*(1+$B$35)^(2019-2022)</f>
        <v/>
      </c>
      <c r="C39" s="20">
        <f>$B$33*(1+$B$35)^(2020-2022)</f>
        <v/>
      </c>
      <c r="D39" s="20">
        <f>$B$33*(1+$B$35)^(2021-2022)</f>
        <v/>
      </c>
      <c r="E39" s="20">
        <f>$B$33*(1+$B$35)^(2022-2022)</f>
        <v/>
      </c>
      <c r="F39" s="20">
        <f>$B$33*(1+$B$35)^(2023-2022)</f>
        <v/>
      </c>
      <c r="G39" s="20">
        <f>$B$33*(1+$B$35)^(2024-2022)</f>
        <v/>
      </c>
      <c r="H39" s="11" t="inlineStr">
        <is>
          <t>DERIVED</t>
        </is>
      </c>
    </row>
    <row r="41" ht="39" customHeight="1">
      <c r="A41" s="21" t="inlineStr">
        <is>
          <t>Participant and placement counts are published for 2022 and 2025 only. Other years are interpolated at constant growth between those two observations, which fixes the series with no free parameters. The back-cast to FY2019 through FY2021 is the weakest link and should be read as illustrative.</t>
        </is>
      </c>
    </row>
  </sheetData>
  <mergeCells count="1">
    <mergeCell ref="A41:I41"/>
  </mergeCells>
  <pageMargins left="0.75" right="0.75" top="1" bottom="1" header="0.5" footer="0.5"/>
</worksheet>
</file>

<file path=xl/worksheets/sheet2.xml><?xml version="1.0" encoding="utf-8"?>
<worksheet xmlns="http://schemas.openxmlformats.org/spreadsheetml/2006/main">
  <sheetPr>
    <tabColor rgb="000B6E4F"/>
    <outlinePr summaryBelow="1" summaryRight="1"/>
    <pageSetUpPr/>
  </sheetPr>
  <dimension ref="A1:H34"/>
  <sheetViews>
    <sheetView showGridLines="0" workbookViewId="0">
      <selection activeCell="A1" sqref="A1"/>
    </sheetView>
  </sheetViews>
  <sheetFormatPr baseColWidth="8" defaultRowHeight="15"/>
  <cols>
    <col width="42" customWidth="1" min="1" max="1"/>
    <col width="17" customWidth="1" min="2" max="2"/>
    <col width="17" customWidth="1" min="3" max="3"/>
    <col width="17" customWidth="1" min="4" max="4"/>
    <col width="17" customWidth="1" min="5" max="5"/>
    <col width="17" customWidth="1" min="6" max="6"/>
    <col width="11" customWidth="1" min="7" max="7"/>
    <col width="56" customWidth="1" min="8" max="8"/>
  </cols>
  <sheetData>
    <row r="1" ht="24" customHeight="1">
      <c r="A1" s="1" t="inlineStr">
        <is>
          <t>Program inputs</t>
        </is>
      </c>
    </row>
    <row r="2">
      <c r="A2" s="2" t="inlineStr">
        <is>
          <t>The four-program portfolio. Participant and outcome counts reconcile to the FY2024 totals derived from published data; costs reconcile to the modelled program expense pool. The split across programs is an analyst assumption.</t>
        </is>
      </c>
    </row>
    <row r="3">
      <c r="A3" s="3" t="n"/>
      <c r="B3" s="3" t="n"/>
      <c r="C3" s="3" t="n"/>
      <c r="D3" s="3" t="n"/>
      <c r="E3" s="3" t="n"/>
      <c r="F3" s="3" t="n"/>
      <c r="G3" s="3" t="n"/>
      <c r="H3" s="3" t="n"/>
    </row>
    <row r="4" ht="30" customHeight="1">
      <c r="A4" s="4" t="inlineStr">
        <is>
          <t>Input</t>
        </is>
      </c>
      <c r="B4" s="5" t="inlineStr">
        <is>
          <t>Career Coaching</t>
        </is>
      </c>
      <c r="C4" s="5" t="inlineStr">
        <is>
          <t>Digital Learning</t>
        </is>
      </c>
      <c r="D4" s="5" t="inlineStr">
        <is>
          <t>Credential Support</t>
        </is>
      </c>
      <c r="E4" s="5" t="inlineStr">
        <is>
          <t>Partner Capacity</t>
        </is>
      </c>
      <c r="F4" s="5" t="inlineStr">
        <is>
          <t>Total</t>
        </is>
      </c>
      <c r="G4" s="5" t="inlineStr">
        <is>
          <t>Tier</t>
        </is>
      </c>
      <c r="H4" s="5" t="inlineStr">
        <is>
          <t>Note</t>
        </is>
      </c>
    </row>
    <row r="5" ht="18" customHeight="1">
      <c r="A5" s="6" t="inlineStr">
        <is>
          <t>Volume</t>
        </is>
      </c>
      <c r="B5" s="7" t="n"/>
      <c r="C5" s="7" t="n"/>
      <c r="D5" s="7" t="n"/>
      <c r="E5" s="7" t="n"/>
      <c r="F5" s="7" t="n"/>
      <c r="G5" s="7" t="n"/>
      <c r="H5" s="7" t="n"/>
    </row>
    <row r="6" ht="26" customHeight="1">
      <c r="A6" s="8" t="inlineStr">
        <is>
          <t>Participants enrolled</t>
        </is>
      </c>
      <c r="B6" s="9" t="n">
        <v>2050</v>
      </c>
      <c r="C6" s="9" t="n">
        <v>7395</v>
      </c>
      <c r="D6" s="9" t="n">
        <v>700</v>
      </c>
      <c r="E6" s="9" t="n">
        <v>641</v>
      </c>
      <c r="F6" s="22">
        <f>SUM(B6:E6)</f>
        <v/>
      </c>
      <c r="G6" s="17" t="inlineStr">
        <is>
          <t>SYNTHETIC</t>
        </is>
      </c>
      <c r="H6" s="23" t="inlineStr">
        <is>
          <t>Sums to the FY2024 total interpolated from the published 2022 and 2025 observations.</t>
        </is>
      </c>
    </row>
    <row r="7" ht="26" customHeight="1">
      <c r="A7" s="8" t="inlineStr">
        <is>
          <t>Successful outcomes (placements)</t>
        </is>
      </c>
      <c r="B7" s="9" t="n">
        <v>861</v>
      </c>
      <c r="C7" s="9" t="n">
        <v>333</v>
      </c>
      <c r="D7" s="9" t="n">
        <v>217</v>
      </c>
      <c r="E7" s="9" t="n">
        <v>83</v>
      </c>
      <c r="F7" s="22">
        <f>SUM(B7:E7)</f>
        <v/>
      </c>
      <c r="G7" s="17" t="inlineStr">
        <is>
          <t>SYNTHETIC</t>
        </is>
      </c>
      <c r="H7" s="23" t="inlineStr">
        <is>
          <t>Sums to the FY2024 placement total on the same basis.</t>
        </is>
      </c>
    </row>
    <row r="8" ht="26" customHeight="1">
      <c r="A8" s="8" t="inlineStr">
        <is>
          <t>Completion rate</t>
        </is>
      </c>
      <c r="B8" s="16" t="n">
        <v>0.71</v>
      </c>
      <c r="C8" s="16" t="n">
        <v>0.24</v>
      </c>
      <c r="D8" s="16" t="n">
        <v>0.58</v>
      </c>
      <c r="E8" s="16" t="n">
        <v>0.46</v>
      </c>
      <c r="G8" s="17" t="inlineStr">
        <is>
          <t>SYNTHETIC</t>
        </is>
      </c>
      <c r="H8" s="23" t="inlineStr">
        <is>
          <t>Share of enrolled participants who finish the program. Distinct from the outcome rate.</t>
        </is>
      </c>
    </row>
    <row r="10" ht="18" customHeight="1">
      <c r="A10" s="6" t="inlineStr">
        <is>
          <t>Cost</t>
        </is>
      </c>
      <c r="B10" s="7" t="n"/>
      <c r="C10" s="7" t="n"/>
      <c r="D10" s="7" t="n"/>
      <c r="E10" s="7" t="n"/>
      <c r="F10" s="7" t="n"/>
      <c r="G10" s="7" t="n"/>
      <c r="H10" s="7" t="n"/>
    </row>
    <row r="11" ht="26" customHeight="1">
      <c r="A11" s="8" t="inlineStr">
        <is>
          <t>Program cost</t>
        </is>
      </c>
      <c r="B11" s="9" t="n">
        <v>7890000</v>
      </c>
      <c r="C11" s="9" t="n">
        <v>2220000</v>
      </c>
      <c r="D11" s="9" t="n">
        <v>2940000</v>
      </c>
      <c r="E11" s="9" t="n">
        <v>1296382</v>
      </c>
      <c r="F11" s="22">
        <f>SUM(B11:E11)</f>
        <v/>
      </c>
      <c r="G11" s="17" t="inlineStr">
        <is>
          <t>SYNTHETIC</t>
        </is>
      </c>
      <c r="H11" s="23" t="inlineStr">
        <is>
          <t>Sums to the modelled FY2024 program expense pool.</t>
        </is>
      </c>
    </row>
    <row r="12" ht="26" customHeight="1">
      <c r="A12" s="8" t="inlineStr">
        <is>
          <t>Direct cost share</t>
        </is>
      </c>
      <c r="B12" s="16" t="n">
        <v>0.72</v>
      </c>
      <c r="C12" s="16" t="n">
        <v>0.58</v>
      </c>
      <c r="D12" s="16" t="n">
        <v>0.76</v>
      </c>
      <c r="E12" s="16" t="n">
        <v>0.64</v>
      </c>
      <c r="G12" s="17" t="inlineStr">
        <is>
          <t>SYNTHETIC</t>
        </is>
      </c>
      <c r="H12" s="23" t="inlineStr">
        <is>
          <t>Remainder is allocated indirect cost - supervision, platform, evaluation, shared space.</t>
        </is>
      </c>
    </row>
    <row r="14" ht="18" customHeight="1">
      <c r="A14" s="6" t="inlineStr">
        <is>
          <t>Delivery and capacity</t>
        </is>
      </c>
      <c r="B14" s="7" t="n"/>
      <c r="C14" s="7" t="n"/>
      <c r="D14" s="7" t="n"/>
      <c r="E14" s="7" t="n"/>
      <c r="F14" s="7" t="n"/>
      <c r="G14" s="7" t="n"/>
      <c r="H14" s="7" t="n"/>
    </row>
    <row r="15" ht="26" customHeight="1">
      <c r="A15" s="8" t="inlineStr">
        <is>
          <t>Staff hours per participant</t>
        </is>
      </c>
      <c r="B15" s="24" t="n">
        <v>39</v>
      </c>
      <c r="C15" s="24" t="n">
        <v>2.5</v>
      </c>
      <c r="D15" s="24" t="n">
        <v>60</v>
      </c>
      <c r="E15" s="24" t="n">
        <v>15.58455538221526</v>
      </c>
      <c r="G15" s="17" t="inlineStr">
        <is>
          <t>SYNTHETIC</t>
        </is>
      </c>
      <c r="H15" s="23" t="inlineStr">
        <is>
          <t>Set so total delivery hours tie to the staffing model: 121 FTE x 74% program share x 1,680 productive hours.</t>
        </is>
      </c>
    </row>
    <row r="16" ht="26" customHeight="1">
      <c r="A16" s="8" t="inlineStr">
        <is>
          <t>Maximum servable participants</t>
        </is>
      </c>
      <c r="B16" s="9" t="n">
        <v>3400</v>
      </c>
      <c r="C16" s="9" t="n">
        <v>15000</v>
      </c>
      <c r="D16" s="9" t="n">
        <v>1150</v>
      </c>
      <c r="E16" s="9" t="n">
        <v>1500</v>
      </c>
      <c r="F16" s="22">
        <f>SUM(B16:E16)</f>
        <v/>
      </c>
      <c r="G16" s="17" t="inlineStr">
        <is>
          <t>SYNTHETIC</t>
        </is>
      </c>
      <c r="H16" s="23" t="inlineStr">
        <is>
          <t>Demand and delivery ceiling. Binds the allocation model in 07.</t>
        </is>
      </c>
    </row>
    <row r="17" ht="26" customHeight="1">
      <c r="A17" s="8" t="inlineStr">
        <is>
          <t>Minimum viable funding</t>
        </is>
      </c>
      <c r="B17" s="9" t="n">
        <v>4500000</v>
      </c>
      <c r="C17" s="9" t="n">
        <v>1200000</v>
      </c>
      <c r="D17" s="9" t="n">
        <v>1800000</v>
      </c>
      <c r="E17" s="9" t="n">
        <v>700000</v>
      </c>
      <c r="F17" s="22">
        <f>SUM(B17:E17)</f>
        <v/>
      </c>
      <c r="G17" s="17" t="inlineStr">
        <is>
          <t>SYNTHETIC</t>
        </is>
      </c>
      <c r="H17" s="23" t="inlineStr">
        <is>
          <t>Below this the program cannot retain its delivery team.</t>
        </is>
      </c>
    </row>
    <row r="19" ht="18" customHeight="1">
      <c r="A19" s="6" t="inlineStr">
        <is>
          <t>Outcome value</t>
        </is>
      </c>
      <c r="B19" s="7" t="n"/>
      <c r="C19" s="7" t="n"/>
      <c r="D19" s="7" t="n"/>
      <c r="E19" s="7" t="n"/>
      <c r="F19" s="7" t="n"/>
      <c r="G19" s="7" t="n"/>
      <c r="H19" s="7" t="n"/>
    </row>
    <row r="20" ht="26" customHeight="1">
      <c r="A20" s="8" t="inlineStr">
        <is>
          <t>Average salary gain per placement</t>
        </is>
      </c>
      <c r="B20" s="9" t="n">
        <v>61000</v>
      </c>
      <c r="C20" s="9" t="n">
        <v>37000</v>
      </c>
      <c r="D20" s="9" t="n">
        <v>88000</v>
      </c>
      <c r="E20" s="9" t="n">
        <v>46500</v>
      </c>
      <c r="G20" s="17" t="inlineStr">
        <is>
          <t>SYNTHETIC</t>
        </is>
      </c>
      <c r="H20" s="23" t="inlineStr">
        <is>
          <t>Increase in annual earnings against the participant's pre-program position.</t>
        </is>
      </c>
    </row>
    <row r="22" ht="18" customHeight="1">
      <c r="A22" s="6" t="inlineStr">
        <is>
          <t>Reconciliation to public data</t>
        </is>
      </c>
      <c r="B22" s="7" t="n"/>
      <c r="C22" s="7" t="n"/>
      <c r="D22" s="7" t="n"/>
      <c r="E22" s="7" t="n"/>
      <c r="F22" s="7" t="n"/>
      <c r="G22" s="7" t="n"/>
      <c r="H22" s="7" t="n"/>
    </row>
    <row r="23" ht="30" customHeight="1">
      <c r="A23" s="4" t="inlineStr">
        <is>
          <t>Check</t>
        </is>
      </c>
      <c r="B23" s="5" t="inlineStr">
        <is>
          <t>Modelled</t>
        </is>
      </c>
      <c r="C23" s="5" t="inlineStr">
        <is>
          <t>Control total</t>
        </is>
      </c>
      <c r="D23" s="5" t="inlineStr">
        <is>
          <t>Difference</t>
        </is>
      </c>
      <c r="E23" s="5" t="inlineStr">
        <is>
          <t>Result</t>
        </is>
      </c>
      <c r="F23" s="5" t="inlineStr"/>
      <c r="G23" s="5" t="inlineStr"/>
      <c r="H23" s="5" t="inlineStr"/>
    </row>
    <row r="24">
      <c r="A24" s="8" t="inlineStr">
        <is>
          <t>Participants tie to the FY2024 derived total</t>
        </is>
      </c>
      <c r="B24" s="25">
        <f>B6+C6+D6+E6</f>
        <v/>
      </c>
      <c r="C24" s="25">
        <f>'Source data'!G38</f>
        <v/>
      </c>
      <c r="D24" s="25">
        <f>B24-C24</f>
        <v/>
      </c>
      <c r="E24" s="26">
        <f>IF(ABS(D24)&lt;1,"PASS","FAIL")</f>
        <v/>
      </c>
    </row>
    <row r="25">
      <c r="A25" s="8" t="inlineStr">
        <is>
          <t>Outcomes tie to the FY2024 derived total</t>
        </is>
      </c>
      <c r="B25" s="25">
        <f>B7+C7+D7+E7</f>
        <v/>
      </c>
      <c r="C25" s="25">
        <f>'Source data'!G39</f>
        <v/>
      </c>
      <c r="D25" s="25">
        <f>B25-C25</f>
        <v/>
      </c>
      <c r="E25" s="26">
        <f>IF(ABS(D25)&lt;1,"PASS","FAIL")</f>
        <v/>
      </c>
    </row>
    <row r="26">
      <c r="A26" s="8" t="inlineStr">
        <is>
          <t>Program costs tie to the modelled expense pool</t>
        </is>
      </c>
      <c r="B26" s="25">
        <f>B11+C11+D11+E11</f>
        <v/>
      </c>
      <c r="C26" s="25">
        <f>'Source data'!G25</f>
        <v/>
      </c>
      <c r="D26" s="25">
        <f>B26-C26</f>
        <v/>
      </c>
      <c r="E26" s="26">
        <f>IF(ABS(D26)&lt;1,"PASS","FAIL")</f>
        <v/>
      </c>
    </row>
    <row r="28" ht="18" customHeight="1">
      <c r="A28" s="6" t="inlineStr">
        <is>
          <t>What each program is</t>
        </is>
      </c>
      <c r="B28" s="7" t="n"/>
      <c r="C28" s="7" t="n"/>
      <c r="D28" s="7" t="n"/>
      <c r="E28" s="7" t="n"/>
      <c r="F28" s="7" t="n"/>
      <c r="G28" s="7" t="n"/>
      <c r="H28" s="7" t="n"/>
    </row>
    <row r="29" ht="39" customHeight="1">
      <c r="A29" s="14" t="inlineStr">
        <is>
          <t>Career Coaching (CCP)</t>
        </is>
      </c>
      <c r="B29" s="27" t="inlineStr">
        <is>
          <t>Intensive one-to-one coaching for work-authorized immigrant and refugee professionals: resume and interview preparation, sector navigation, employer introductions. High touch, high cost per participant, high placement rate. The organization's flagship service line.</t>
        </is>
      </c>
    </row>
    <row r="30" ht="39" customHeight="1">
      <c r="A30" s="14" t="inlineStr">
        <is>
          <t>Digital Learning (DLP)</t>
        </is>
      </c>
      <c r="B30" s="27" t="inlineStr">
        <is>
          <t>Self-serve online curriculum and community, open to any eligible jobseeker. Very low marginal cost per participant and correspondingly low conversion to placement, but it is the only channel that reaches jobseekers at national scale.</t>
        </is>
      </c>
    </row>
    <row r="31" ht="39" customHeight="1">
      <c r="A31" s="14" t="inlineStr">
        <is>
          <t>Credential Support (CRS)</t>
        </is>
      </c>
      <c r="B31" s="27" t="inlineStr">
        <is>
          <t>Support for foreign-credentialed professionals - physicians, engineers, accountants - navigating US licensure and re-credentialing. Small, expensive, slow, and by far the largest earnings gain per successful outcome.</t>
        </is>
      </c>
    </row>
    <row r="32" ht="39" customHeight="1">
      <c r="A32" s="14" t="inlineStr">
        <is>
          <t>Partner Capacity (PCB)</t>
        </is>
      </c>
      <c r="B32" s="27" t="inlineStr">
        <is>
          <t>Training and tooling delivered to staff at partner workforce development organizations, who then serve jobseekers directly. Outcomes are attributed at a discount because delivery is indirect. Its case rests on sector leverage rather than unit cost.</t>
        </is>
      </c>
    </row>
    <row r="34" ht="30" customHeight="1">
      <c r="A34" s="28" t="inlineStr">
        <is>
          <t>Independent analysis prepared from public information for portfolio and educational purposes. Not affiliated with, endorsed by, or reviewed by Upwardly Global. Historical totals are as filed; all forward-looking and program-level figures are analyst assumptions and are not the organization's plans or guidance.</t>
        </is>
      </c>
    </row>
  </sheetData>
  <mergeCells count="5">
    <mergeCell ref="B32:H32"/>
    <mergeCell ref="B30:H30"/>
    <mergeCell ref="B29:H29"/>
    <mergeCell ref="B31:H31"/>
    <mergeCell ref="A34:H34"/>
  </mergeCells>
  <pageMargins left="0.75" right="0.75" top="1" bottom="1" header="0.5" footer="0.5"/>
</worksheet>
</file>

<file path=xl/worksheets/sheet3.xml><?xml version="1.0" encoding="utf-8"?>
<worksheet xmlns="http://schemas.openxmlformats.org/spreadsheetml/2006/main">
  <sheetPr>
    <tabColor rgb="000B6E4F"/>
    <outlinePr summaryBelow="1" summaryRight="1"/>
    <pageSetUpPr/>
  </sheetPr>
  <dimension ref="A1:J59"/>
  <sheetViews>
    <sheetView showGridLines="0" workbookViewId="0">
      <selection activeCell="A1" sqref="A1"/>
    </sheetView>
  </sheetViews>
  <sheetFormatPr baseColWidth="8" defaultRowHeight="15"/>
  <cols>
    <col width="26" customWidth="1" min="1" max="1"/>
    <col width="15" customWidth="1" min="2" max="2"/>
    <col width="15" customWidth="1" min="3" max="3"/>
    <col width="15" customWidth="1" min="4" max="4"/>
    <col width="15" customWidth="1" min="5" max="5"/>
    <col width="15" customWidth="1" min="6" max="6"/>
    <col width="15" customWidth="1" min="7" max="7"/>
    <col width="15" customWidth="1" min="8" max="8"/>
    <col width="3" customWidth="1" min="9" max="9"/>
    <col width="54" customWidth="1" min="10" max="10"/>
  </cols>
  <sheetData>
    <row r="1" ht="24" customHeight="1">
      <c r="A1" s="1" t="inlineStr">
        <is>
          <t>Program comparison</t>
        </is>
      </c>
    </row>
    <row r="2">
      <c r="A2" s="2" t="inlineStr">
        <is>
          <t>The same four programs ranked on each measure. They rank differently on each one, which is the point.</t>
        </is>
      </c>
    </row>
    <row r="3">
      <c r="A3" s="3" t="n"/>
      <c r="B3" s="3" t="n"/>
      <c r="C3" s="3" t="n"/>
      <c r="D3" s="3" t="n"/>
      <c r="E3" s="3" t="n"/>
      <c r="F3" s="3" t="n"/>
      <c r="G3" s="3" t="n"/>
      <c r="H3" s="3" t="n"/>
      <c r="I3" s="3" t="n"/>
      <c r="J3" s="3" t="n"/>
    </row>
    <row r="4" ht="30" customHeight="1">
      <c r="A4" s="4" t="inlineStr">
        <is>
          <t>Program</t>
        </is>
      </c>
      <c r="B4" s="5" t="inlineStr">
        <is>
          <t>Cost</t>
        </is>
      </c>
      <c r="C4" s="5" t="inlineStr">
        <is>
          <t>Participants</t>
        </is>
      </c>
      <c r="D4" s="5" t="inlineStr">
        <is>
          <t>Outcomes</t>
        </is>
      </c>
      <c r="E4" s="5" t="inlineStr">
        <is>
          <t>Cost per participant</t>
        </is>
      </c>
      <c r="F4" s="5" t="inlineStr">
        <is>
          <t>Cost per outcome</t>
        </is>
      </c>
      <c r="G4" s="5" t="inlineStr">
        <is>
          <t>Outcome rate</t>
        </is>
      </c>
      <c r="H4" s="5" t="inlineStr">
        <is>
          <t>Gain per $</t>
        </is>
      </c>
      <c r="I4" s="5" t="inlineStr"/>
      <c r="J4" s="5" t="inlineStr">
        <is>
          <t>Note</t>
        </is>
      </c>
    </row>
    <row r="5">
      <c r="A5" s="29" t="inlineStr">
        <is>
          <t>Career Coaching</t>
        </is>
      </c>
      <c r="B5" s="18">
        <f>'Program economics'!B9</f>
        <v/>
      </c>
      <c r="C5" s="18">
        <f>'Program economics'!B6</f>
        <v/>
      </c>
      <c r="D5" s="18">
        <f>'Program economics'!B8</f>
        <v/>
      </c>
      <c r="E5" s="30">
        <f>'Program economics'!B13</f>
        <v/>
      </c>
      <c r="F5" s="30">
        <f>'Program economics'!B15</f>
        <v/>
      </c>
      <c r="G5" s="31">
        <f>'Program economics'!B19</f>
        <v/>
      </c>
      <c r="H5" s="32">
        <f>'Program economics'!B37</f>
        <v/>
      </c>
    </row>
    <row r="6">
      <c r="A6" s="29" t="inlineStr">
        <is>
          <t>Digital Learning</t>
        </is>
      </c>
      <c r="B6" s="18">
        <f>'Program economics'!C9</f>
        <v/>
      </c>
      <c r="C6" s="18">
        <f>'Program economics'!C6</f>
        <v/>
      </c>
      <c r="D6" s="18">
        <f>'Program economics'!C8</f>
        <v/>
      </c>
      <c r="E6" s="30">
        <f>'Program economics'!C13</f>
        <v/>
      </c>
      <c r="F6" s="30">
        <f>'Program economics'!C15</f>
        <v/>
      </c>
      <c r="G6" s="31">
        <f>'Program economics'!C19</f>
        <v/>
      </c>
      <c r="H6" s="32">
        <f>'Program economics'!C37</f>
        <v/>
      </c>
    </row>
    <row r="7">
      <c r="A7" s="29" t="inlineStr">
        <is>
          <t>Credential Support</t>
        </is>
      </c>
      <c r="B7" s="18">
        <f>'Program economics'!D9</f>
        <v/>
      </c>
      <c r="C7" s="18">
        <f>'Program economics'!D6</f>
        <v/>
      </c>
      <c r="D7" s="18">
        <f>'Program economics'!D8</f>
        <v/>
      </c>
      <c r="E7" s="30">
        <f>'Program economics'!D13</f>
        <v/>
      </c>
      <c r="F7" s="30">
        <f>'Program economics'!D15</f>
        <v/>
      </c>
      <c r="G7" s="31">
        <f>'Program economics'!D19</f>
        <v/>
      </c>
      <c r="H7" s="32">
        <f>'Program economics'!D37</f>
        <v/>
      </c>
    </row>
    <row r="8">
      <c r="A8" s="29" t="inlineStr">
        <is>
          <t>Partner Capacity</t>
        </is>
      </c>
      <c r="B8" s="18">
        <f>'Program economics'!E9</f>
        <v/>
      </c>
      <c r="C8" s="18">
        <f>'Program economics'!E6</f>
        <v/>
      </c>
      <c r="D8" s="18">
        <f>'Program economics'!E8</f>
        <v/>
      </c>
      <c r="E8" s="30">
        <f>'Program economics'!E13</f>
        <v/>
      </c>
      <c r="F8" s="30">
        <f>'Program economics'!E15</f>
        <v/>
      </c>
      <c r="G8" s="31">
        <f>'Program economics'!E19</f>
        <v/>
      </c>
      <c r="H8" s="32">
        <f>'Program economics'!E37</f>
        <v/>
      </c>
    </row>
    <row r="9">
      <c r="A9" s="33" t="inlineStr">
        <is>
          <t>Portfolio</t>
        </is>
      </c>
      <c r="B9" s="34">
        <f>'Program economics'!F9</f>
        <v/>
      </c>
      <c r="C9" s="34">
        <f>'Program economics'!F6</f>
        <v/>
      </c>
      <c r="D9" s="34">
        <f>'Program economics'!F8</f>
        <v/>
      </c>
      <c r="E9" s="35">
        <f>'Program economics'!F13</f>
        <v/>
      </c>
      <c r="F9" s="35">
        <f>'Program economics'!F15</f>
        <v/>
      </c>
      <c r="G9" s="36">
        <f>'Program economics'!F19</f>
        <v/>
      </c>
      <c r="H9" s="37">
        <f>'Program economics'!F37</f>
        <v/>
      </c>
    </row>
    <row r="11" ht="18" customHeight="1">
      <c r="A11" s="6" t="inlineStr">
        <is>
          <t>Rank on each measure (1 = best)</t>
        </is>
      </c>
      <c r="B11" s="7" t="n"/>
      <c r="C11" s="7" t="n"/>
      <c r="D11" s="7" t="n"/>
      <c r="E11" s="7" t="n"/>
      <c r="F11" s="7" t="n"/>
      <c r="G11" s="7" t="n"/>
      <c r="H11" s="7" t="n"/>
      <c r="I11" s="7" t="n"/>
      <c r="J11" s="7" t="n"/>
    </row>
    <row r="12" ht="30" customHeight="1">
      <c r="A12" s="4" t="inlineStr">
        <is>
          <t>Program</t>
        </is>
      </c>
      <c r="B12" s="5" t="inlineStr"/>
      <c r="C12" s="5" t="inlineStr"/>
      <c r="D12" s="5" t="inlineStr"/>
      <c r="E12" s="5" t="inlineStr">
        <is>
          <t>Cost per participant</t>
        </is>
      </c>
      <c r="F12" s="5" t="inlineStr">
        <is>
          <t>Cost per outcome</t>
        </is>
      </c>
      <c r="G12" s="5" t="inlineStr">
        <is>
          <t>Outcome rate</t>
        </is>
      </c>
      <c r="H12" s="5" t="inlineStr">
        <is>
          <t>Gain per $</t>
        </is>
      </c>
      <c r="I12" s="5" t="inlineStr"/>
      <c r="J12" s="5" t="inlineStr">
        <is>
          <t>Combined rank</t>
        </is>
      </c>
    </row>
    <row r="13">
      <c r="A13" s="29" t="inlineStr">
        <is>
          <t>Career Coaching</t>
        </is>
      </c>
      <c r="E13" s="38">
        <f>RANK(E5,$E$5:$E$8,1)</f>
        <v/>
      </c>
      <c r="F13" s="38">
        <f>RANK(F5,$F$5:$F$8,1)</f>
        <v/>
      </c>
      <c r="G13" s="38">
        <f>RANK(G5,$G$5:$G$8,0)</f>
        <v/>
      </c>
      <c r="H13" s="38">
        <f>RANK(H5,$H$5:$H$8,0)</f>
        <v/>
      </c>
      <c r="J13" s="39">
        <f>SUM(E13:H13)</f>
        <v/>
      </c>
    </row>
    <row r="14">
      <c r="A14" s="29" t="inlineStr">
        <is>
          <t>Digital Learning</t>
        </is>
      </c>
      <c r="E14" s="38">
        <f>RANK(E6,$E$5:$E$8,1)</f>
        <v/>
      </c>
      <c r="F14" s="38">
        <f>RANK(F6,$F$5:$F$8,1)</f>
        <v/>
      </c>
      <c r="G14" s="38">
        <f>RANK(G6,$G$5:$G$8,0)</f>
        <v/>
      </c>
      <c r="H14" s="38">
        <f>RANK(H6,$H$5:$H$8,0)</f>
        <v/>
      </c>
      <c r="J14" s="39">
        <f>SUM(E14:H14)</f>
        <v/>
      </c>
    </row>
    <row r="15">
      <c r="A15" s="29" t="inlineStr">
        <is>
          <t>Credential Support</t>
        </is>
      </c>
      <c r="E15" s="38">
        <f>RANK(E7,$E$5:$E$8,1)</f>
        <v/>
      </c>
      <c r="F15" s="38">
        <f>RANK(F7,$F$5:$F$8,1)</f>
        <v/>
      </c>
      <c r="G15" s="38">
        <f>RANK(G7,$G$5:$G$8,0)</f>
        <v/>
      </c>
      <c r="H15" s="38">
        <f>RANK(H7,$H$5:$H$8,0)</f>
        <v/>
      </c>
      <c r="J15" s="39">
        <f>SUM(E15:H15)</f>
        <v/>
      </c>
    </row>
    <row r="16">
      <c r="A16" s="29" t="inlineStr">
        <is>
          <t>Partner Capacity</t>
        </is>
      </c>
      <c r="E16" s="38">
        <f>RANK(E8,$E$5:$E$8,1)</f>
        <v/>
      </c>
      <c r="F16" s="38">
        <f>RANK(F8,$F$5:$F$8,1)</f>
        <v/>
      </c>
      <c r="G16" s="38">
        <f>RANK(G8,$G$5:$G$8,0)</f>
        <v/>
      </c>
      <c r="H16" s="38">
        <f>RANK(H8,$H$5:$H$8,0)</f>
        <v/>
      </c>
      <c r="J16" s="39">
        <f>SUM(E16:H16)</f>
        <v/>
      </c>
    </row>
    <row r="18" ht="39" customHeight="1">
      <c r="A18" s="21" t="inlineStr">
        <is>
          <t>A combined rank is shown because reviewers always ask for one, and it is the least useful number on the sheet. Adding ordinal ranks across measures with different units implies they matter equally, which no one has decided. The honest reading is the four columns to its left.</t>
        </is>
      </c>
    </row>
    <row r="54" ht="18" customHeight="1">
      <c r="A54" s="6" t="inlineStr">
        <is>
          <t>What the comparison says</t>
        </is>
      </c>
      <c r="B54" s="7" t="n"/>
      <c r="C54" s="7" t="n"/>
      <c r="D54" s="7" t="n"/>
      <c r="E54" s="7" t="n"/>
      <c r="F54" s="7" t="n"/>
      <c r="G54" s="7" t="n"/>
      <c r="H54" s="7" t="n"/>
      <c r="I54" s="7" t="n"/>
      <c r="J54" s="7" t="n"/>
    </row>
    <row r="55" ht="26" customHeight="1">
      <c r="A55" s="40" t="inlineStr">
        <is>
          <t>Digital Learning produces a placement for $6,667 against $15,619 for Partner Capacity - a 2.3x difference. On cost per placement alone the allocation decision looks obvious.</t>
        </is>
      </c>
    </row>
    <row r="56" ht="26" customHeight="1">
      <c r="A56" s="40" t="inlineStr">
        <is>
          <t>It is not obvious. Digital Learning converts only 4.5% of enrolled participants and its placements carry an average earnings gain of $37,000. Credential Support converts 31.0% at $88,000 of gain - 2.4 times as much income mobility per person placed.</t>
        </is>
      </c>
    </row>
    <row r="57" ht="39" customHeight="1">
      <c r="A57" s="40" t="inlineStr">
        <is>
          <t>Measured on earnings gain generated per dollar spent, the ranking changes: Career Coaching leads at $6.66 of first-year gain per dollar. Cost per placement and value per placement point in different directions, and no amount of further analysis resolves that. It is a choice about what the organization is for.</t>
        </is>
      </c>
    </row>
    <row r="58" ht="39" customHeight="1">
      <c r="A58" s="40" t="inlineStr">
        <is>
          <t>Capacity is the constraint that decides how much the choice is worth. Digital Learning is running at 49% of its ceiling and Credential Support at 61%. Headroom, not preference, sets the upper bound on how far funding can be tilted toward either. 06_Resource_Allocation.xlsx solves that problem explicitly.</t>
        </is>
      </c>
    </row>
    <row r="59" ht="52" customHeight="1">
      <c r="A59" s="40" t="inlineStr">
        <is>
          <t>Partner Capacity is the weakest program on every financial measure - $15,619 per placement, the second-lowest conversion rate, and the lowest capacity utilisation at 43%. Its case rests on sector leverage and on outcomes delivered through partners that this model attributes at a discount. That case may well be sound, but it is a strategic argument and should be defended as one rather than hidden inside a blended portfolio average.</t>
        </is>
      </c>
    </row>
  </sheetData>
  <mergeCells count="6">
    <mergeCell ref="A58:J58"/>
    <mergeCell ref="A18:J18"/>
    <mergeCell ref="A56:J56"/>
    <mergeCell ref="A55:J55"/>
    <mergeCell ref="A59:J59"/>
    <mergeCell ref="A57:J57"/>
  </mergeCells>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tabColor rgb="005F6B7A"/>
    <outlinePr summaryBelow="1" summaryRight="1"/>
    <pageSetUpPr/>
  </sheetPr>
  <dimension ref="A1:E10"/>
  <sheetViews>
    <sheetView showGridLines="0" workbookViewId="0">
      <selection activeCell="A1" sqref="A1"/>
    </sheetView>
  </sheetViews>
  <sheetFormatPr baseColWidth="8" defaultRowHeight="15"/>
  <cols>
    <col width="50" customWidth="1" min="1" max="1"/>
    <col width="20" customWidth="1" min="2" max="2"/>
    <col width="20" customWidth="1" min="3" max="3"/>
    <col width="14" customWidth="1" min="4" max="4"/>
    <col width="60" customWidth="1" min="5" max="5"/>
  </cols>
  <sheetData>
    <row r="1" ht="24" customHeight="1">
      <c r="A1" s="1" t="inlineStr">
        <is>
          <t>Calibration against published impact data</t>
        </is>
      </c>
    </row>
    <row r="2">
      <c r="A2" s="2" t="inlineStr">
        <is>
          <t>The program mix is synthetic. This is the one place it can be tested against something real.</t>
        </is>
      </c>
    </row>
    <row r="3">
      <c r="A3" s="3" t="n"/>
      <c r="B3" s="3" t="n"/>
      <c r="C3" s="3" t="n"/>
      <c r="D3" s="3" t="n"/>
      <c r="E3" s="3" t="n"/>
    </row>
    <row r="4" ht="30" customHeight="1">
      <c r="A4" s="4" t="inlineStr">
        <is>
          <t>Measure</t>
        </is>
      </c>
      <c r="B4" s="5" t="inlineStr">
        <is>
          <t>Model</t>
        </is>
      </c>
      <c r="C4" s="5" t="inlineStr">
        <is>
          <t>Published</t>
        </is>
      </c>
      <c r="D4" s="5" t="inlineStr">
        <is>
          <t>Variance</t>
        </is>
      </c>
      <c r="E4" s="5" t="inlineStr">
        <is>
          <t>Note</t>
        </is>
      </c>
    </row>
    <row r="5" ht="65" customHeight="1">
      <c r="A5" s="29" t="inlineStr">
        <is>
          <t>Average salary gain per placement</t>
        </is>
      </c>
      <c r="B5" s="41">
        <f>'Program economics'!F35</f>
        <v/>
      </c>
      <c r="C5" s="41" t="n">
        <v>58790</v>
      </c>
      <c r="D5" s="42">
        <f>IFERROR(B5/C5-1,"n/a")</f>
        <v/>
      </c>
      <c r="E5" s="23" t="inlineStr">
        <is>
          <t>The organization published $58,790 for 2025. The synthetic program mix was tuned so the blended figure it implies lands within about 1% of that. This is a weak test - one number, from a different year, that the mix was fitted to - but it is a real constraint and it is better than none.</t>
        </is>
      </c>
    </row>
    <row r="6" ht="26" customHeight="1">
      <c r="A6" s="29" t="inlineStr">
        <is>
          <t>Participants served, FY2024</t>
        </is>
      </c>
      <c r="B6" s="43">
        <f>'Program economics'!F6</f>
        <v/>
      </c>
      <c r="C6" s="43">
        <f>'Source data'!G38</f>
        <v/>
      </c>
      <c r="D6" s="42">
        <f>IFERROR(B6/C6-1,"n/a")</f>
        <v/>
      </c>
      <c r="E6" s="23" t="inlineStr">
        <is>
          <t>Ties by construction to the count interpolated between the published 2022 and 2025 observations.</t>
        </is>
      </c>
    </row>
    <row r="7" ht="13" customHeight="1">
      <c r="A7" s="29" t="inlineStr">
        <is>
          <t>Successful outcomes, FY2024</t>
        </is>
      </c>
      <c r="B7" s="43">
        <f>'Program economics'!F8</f>
        <v/>
      </c>
      <c r="C7" s="43">
        <f>'Source data'!G39</f>
        <v/>
      </c>
      <c r="D7" s="42">
        <f>IFERROR(B7/C7-1,"n/a")</f>
        <v/>
      </c>
      <c r="E7" s="23" t="inlineStr">
        <is>
          <t>Ties to the interpolated placement total on the same basis.</t>
        </is>
      </c>
    </row>
    <row r="8" ht="39" customHeight="1">
      <c r="A8" s="29" t="inlineStr">
        <is>
          <t>Blended outcome rate</t>
        </is>
      </c>
      <c r="B8" s="44">
        <f>'Program economics'!F19</f>
        <v/>
      </c>
      <c r="C8" s="44">
        <f>'Source data'!G39/'Source data'!G38</f>
        <v/>
      </c>
      <c r="D8" s="42">
        <f>IFERROR(B8/C8-1,"n/a")</f>
        <v/>
      </c>
      <c r="E8" s="23" t="inlineStr">
        <is>
          <t>Implied by the two lines above. The 2022 published figures give 15.9% and the 2025 figures 13.0%, so a FY2024 rate between those is consistent with the published record.</t>
        </is>
      </c>
    </row>
    <row r="10" ht="78" customHeight="1">
      <c r="A10" s="21" t="inlineStr">
        <is>
          <t>What this check cannot do: it cannot validate the split of participants, costs or outcomes across the four programs, because no public data exists at that level. Everything on 'Program comparison' should be read as an internally consistent illustration of how a portfolio like this behaves, not as a measurement of how this organization's programs actually perform.</t>
        </is>
      </c>
    </row>
  </sheetData>
  <mergeCells count="1">
    <mergeCell ref="A10:E10"/>
  </mergeCells>
  <pageMargins left="0.75" right="0.75" top="1" bottom="1" header="0.5" footer="0.5"/>
</worksheet>
</file>

<file path=xl/worksheets/sheet5.xml><?xml version="1.0" encoding="utf-8"?>
<worksheet xmlns="http://schemas.openxmlformats.org/spreadsheetml/2006/main">
  <sheetPr>
    <tabColor rgb="0012324F"/>
    <outlinePr summaryBelow="1" summaryRight="1"/>
    <pageSetUpPr/>
  </sheetPr>
  <dimension ref="A1:H37"/>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44" customWidth="1" min="1" max="1"/>
    <col width="17" customWidth="1" min="2" max="2"/>
    <col width="17" customWidth="1" min="3" max="3"/>
    <col width="17" customWidth="1" min="4" max="4"/>
    <col width="17" customWidth="1" min="5" max="5"/>
    <col width="17" customWidth="1" min="6" max="6"/>
    <col width="3" customWidth="1" min="7" max="7"/>
    <col width="58" customWidth="1" min="8" max="8"/>
  </cols>
  <sheetData>
    <row r="1" ht="24" customHeight="1">
      <c r="A1" s="1" t="inlineStr">
        <is>
          <t>Program unit economics, FY2024</t>
        </is>
      </c>
    </row>
    <row r="2">
      <c r="A2" s="2" t="inlineStr">
        <is>
          <t>Every figure calculated from 'Program inputs'. Change an input there and this sheet moves.</t>
        </is>
      </c>
    </row>
    <row r="3">
      <c r="A3" s="3" t="n"/>
      <c r="B3" s="3" t="n"/>
      <c r="C3" s="3" t="n"/>
      <c r="D3" s="3" t="n"/>
      <c r="E3" s="3" t="n"/>
      <c r="F3" s="3" t="n"/>
      <c r="G3" s="3" t="n"/>
      <c r="H3" s="3" t="n"/>
    </row>
    <row r="4" ht="30" customHeight="1">
      <c r="A4" s="4" t="inlineStr">
        <is>
          <t>Measure</t>
        </is>
      </c>
      <c r="B4" s="5" t="inlineStr">
        <is>
          <t>Career Coaching</t>
        </is>
      </c>
      <c r="C4" s="5" t="inlineStr">
        <is>
          <t>Digital Learning</t>
        </is>
      </c>
      <c r="D4" s="5" t="inlineStr">
        <is>
          <t>Credential Support</t>
        </is>
      </c>
      <c r="E4" s="5" t="inlineStr">
        <is>
          <t>Partner Capacity</t>
        </is>
      </c>
      <c r="F4" s="5" t="inlineStr">
        <is>
          <t>Portfolio</t>
        </is>
      </c>
      <c r="G4" s="5" t="inlineStr"/>
      <c r="H4" s="5" t="inlineStr">
        <is>
          <t>Note</t>
        </is>
      </c>
    </row>
    <row r="5" ht="18" customHeight="1">
      <c r="A5" s="6" t="inlineStr">
        <is>
          <t>Scale</t>
        </is>
      </c>
      <c r="B5" s="7" t="n"/>
      <c r="C5" s="7" t="n"/>
      <c r="D5" s="7" t="n"/>
      <c r="E5" s="7" t="n"/>
      <c r="F5" s="7" t="n"/>
      <c r="G5" s="7" t="n"/>
      <c r="H5" s="7" t="n"/>
    </row>
    <row r="6">
      <c r="A6" s="29" t="inlineStr">
        <is>
          <t>Participants enrolled</t>
        </is>
      </c>
      <c r="B6" s="18">
        <f>'Program inputs'!B6</f>
        <v/>
      </c>
      <c r="C6" s="18">
        <f>'Program inputs'!C6</f>
        <v/>
      </c>
      <c r="D6" s="18">
        <f>'Program inputs'!D6</f>
        <v/>
      </c>
      <c r="E6" s="18">
        <f>'Program inputs'!E6</f>
        <v/>
      </c>
      <c r="F6" s="45">
        <f>SUM(B6:E6)</f>
        <v/>
      </c>
    </row>
    <row r="7">
      <c r="A7" s="29" t="inlineStr">
        <is>
          <t>Participants completing</t>
        </is>
      </c>
      <c r="B7" s="46">
        <f>'Program inputs'!B6*'Program inputs'!B8</f>
        <v/>
      </c>
      <c r="C7" s="46">
        <f>'Program inputs'!C6*'Program inputs'!C8</f>
        <v/>
      </c>
      <c r="D7" s="46">
        <f>'Program inputs'!D6*'Program inputs'!D8</f>
        <v/>
      </c>
      <c r="E7" s="46">
        <f>'Program inputs'!E6*'Program inputs'!E8</f>
        <v/>
      </c>
      <c r="F7" s="47">
        <f>SUM(B7:E7)</f>
        <v/>
      </c>
    </row>
    <row r="8">
      <c r="A8" s="29" t="inlineStr">
        <is>
          <t>Successful outcomes</t>
        </is>
      </c>
      <c r="B8" s="18">
        <f>'Program inputs'!B7</f>
        <v/>
      </c>
      <c r="C8" s="18">
        <f>'Program inputs'!C7</f>
        <v/>
      </c>
      <c r="D8" s="18">
        <f>'Program inputs'!D7</f>
        <v/>
      </c>
      <c r="E8" s="18">
        <f>'Program inputs'!E7</f>
        <v/>
      </c>
      <c r="F8" s="45">
        <f>SUM(B8:E8)</f>
        <v/>
      </c>
    </row>
    <row r="9">
      <c r="A9" s="29" t="inlineStr">
        <is>
          <t>Program cost</t>
        </is>
      </c>
      <c r="B9" s="18">
        <f>'Program inputs'!B11</f>
        <v/>
      </c>
      <c r="C9" s="18">
        <f>'Program inputs'!C11</f>
        <v/>
      </c>
      <c r="D9" s="18">
        <f>'Program inputs'!D11</f>
        <v/>
      </c>
      <c r="E9" s="18">
        <f>'Program inputs'!E11</f>
        <v/>
      </c>
      <c r="F9" s="45">
        <f>SUM(B9:E9)</f>
        <v/>
      </c>
    </row>
    <row r="10">
      <c r="A10" s="29" t="inlineStr">
        <is>
          <t>Share of program spend</t>
        </is>
      </c>
      <c r="B10" s="31">
        <f>B9/$F$9</f>
        <v/>
      </c>
      <c r="C10" s="31">
        <f>C9/$F$9</f>
        <v/>
      </c>
      <c r="D10" s="31">
        <f>D9/$F$9</f>
        <v/>
      </c>
      <c r="E10" s="31">
        <f>E9/$F$9</f>
        <v/>
      </c>
      <c r="F10" s="48">
        <f>SUM(B10:E10)</f>
        <v/>
      </c>
    </row>
    <row r="12" ht="18" customHeight="1">
      <c r="A12" s="6" t="inlineStr">
        <is>
          <t>Unit cost</t>
        </is>
      </c>
      <c r="B12" s="7" t="n"/>
      <c r="C12" s="7" t="n"/>
      <c r="D12" s="7" t="n"/>
      <c r="E12" s="7" t="n"/>
      <c r="F12" s="7" t="n"/>
      <c r="G12" s="7" t="n"/>
      <c r="H12" s="7" t="n"/>
    </row>
    <row r="13" ht="26" customHeight="1">
      <c r="A13" s="29" t="inlineStr">
        <is>
          <t>Cost per participant</t>
        </is>
      </c>
      <c r="B13" s="30">
        <f>B9/B6</f>
        <v/>
      </c>
      <c r="C13" s="30">
        <f>C9/C6</f>
        <v/>
      </c>
      <c r="D13" s="30">
        <f>D9/D6</f>
        <v/>
      </c>
      <c r="E13" s="30">
        <f>E9/E6</f>
        <v/>
      </c>
      <c r="F13" s="49">
        <f>F9/F6</f>
        <v/>
      </c>
      <c r="H13" s="23" t="inlineStr">
        <is>
          <t>Program cost divided by enrolled participants.</t>
        </is>
      </c>
    </row>
    <row r="14">
      <c r="A14" s="29" t="inlineStr">
        <is>
          <t>Cost per completer</t>
        </is>
      </c>
      <c r="B14" s="30">
        <f>B9/B7</f>
        <v/>
      </c>
      <c r="C14" s="30">
        <f>C9/C7</f>
        <v/>
      </c>
      <c r="D14" s="30">
        <f>D9/D7</f>
        <v/>
      </c>
      <c r="E14" s="30">
        <f>E9/E7</f>
        <v/>
      </c>
      <c r="F14" s="49">
        <f>F9/F7</f>
        <v/>
      </c>
    </row>
    <row r="15" ht="26" customHeight="1">
      <c r="A15" s="50" t="inlineStr">
        <is>
          <t>Cost per successful outcome</t>
        </is>
      </c>
      <c r="B15" s="51">
        <f>B9/B8</f>
        <v/>
      </c>
      <c r="C15" s="51">
        <f>C9/C8</f>
        <v/>
      </c>
      <c r="D15" s="51">
        <f>D9/D8</f>
        <v/>
      </c>
      <c r="E15" s="51">
        <f>E9/E8</f>
        <v/>
      </c>
      <c r="F15" s="49">
        <f>F9/F8</f>
        <v/>
      </c>
      <c r="H15" s="23" t="inlineStr">
        <is>
          <t>The single most decision-relevant cost measure in this workbook.</t>
        </is>
      </c>
    </row>
    <row r="17" ht="18" customHeight="1">
      <c r="A17" s="6" t="inlineStr">
        <is>
          <t>Conversion</t>
        </is>
      </c>
      <c r="B17" s="7" t="n"/>
      <c r="C17" s="7" t="n"/>
      <c r="D17" s="7" t="n"/>
      <c r="E17" s="7" t="n"/>
      <c r="F17" s="7" t="n"/>
      <c r="G17" s="7" t="n"/>
      <c r="H17" s="7" t="n"/>
    </row>
    <row r="18">
      <c r="A18" s="29" t="inlineStr">
        <is>
          <t>Completion rate</t>
        </is>
      </c>
      <c r="B18" s="31">
        <f>'Program inputs'!B8</f>
        <v/>
      </c>
      <c r="C18" s="31">
        <f>'Program inputs'!C8</f>
        <v/>
      </c>
      <c r="D18" s="31">
        <f>'Program inputs'!D8</f>
        <v/>
      </c>
      <c r="E18" s="31">
        <f>'Program inputs'!E8</f>
        <v/>
      </c>
      <c r="F18" s="48">
        <f>F7/F6</f>
        <v/>
      </c>
    </row>
    <row r="19">
      <c r="A19" s="29" t="inlineStr">
        <is>
          <t>Outcome rate (of enrolled)</t>
        </is>
      </c>
      <c r="B19" s="31">
        <f>B8/B6</f>
        <v/>
      </c>
      <c r="C19" s="31">
        <f>C8/C6</f>
        <v/>
      </c>
      <c r="D19" s="31">
        <f>D8/D6</f>
        <v/>
      </c>
      <c r="E19" s="31">
        <f>E8/E6</f>
        <v/>
      </c>
      <c r="F19" s="48">
        <f>F8/F6</f>
        <v/>
      </c>
    </row>
    <row r="20" ht="26" customHeight="1">
      <c r="A20" s="29" t="inlineStr">
        <is>
          <t>Outcome rate (of completers)</t>
        </is>
      </c>
      <c r="B20" s="31">
        <f>B8/B7</f>
        <v/>
      </c>
      <c r="C20" s="31">
        <f>C8/C7</f>
        <v/>
      </c>
      <c r="D20" s="31">
        <f>D8/D7</f>
        <v/>
      </c>
      <c r="E20" s="31">
        <f>E8/E7</f>
        <v/>
      </c>
      <c r="F20" s="48">
        <f>F8/F7</f>
        <v/>
      </c>
      <c r="H20" s="23" t="inlineStr">
        <is>
          <t>Separating these two matters. A low outcome rate caused by drop-out is a retention problem; one caused by completers not being placed is a placement problem. They have different fixes.</t>
        </is>
      </c>
    </row>
    <row r="22" ht="18" customHeight="1">
      <c r="A22" s="6" t="inlineStr">
        <is>
          <t>Cost structure</t>
        </is>
      </c>
      <c r="B22" s="7" t="n"/>
      <c r="C22" s="7" t="n"/>
      <c r="D22" s="7" t="n"/>
      <c r="E22" s="7" t="n"/>
      <c r="F22" s="7" t="n"/>
      <c r="G22" s="7" t="n"/>
      <c r="H22" s="7" t="n"/>
    </row>
    <row r="23">
      <c r="A23" s="29" t="inlineStr">
        <is>
          <t>Direct cost</t>
        </is>
      </c>
      <c r="B23" s="18">
        <f>B9*'Program inputs'!B12</f>
        <v/>
      </c>
      <c r="C23" s="18">
        <f>C9*'Program inputs'!C12</f>
        <v/>
      </c>
      <c r="D23" s="18">
        <f>D9*'Program inputs'!D12</f>
        <v/>
      </c>
      <c r="E23" s="18">
        <f>E9*'Program inputs'!E12</f>
        <v/>
      </c>
      <c r="F23" s="45">
        <f>SUM(B23:E23)</f>
        <v/>
      </c>
    </row>
    <row r="24">
      <c r="A24" s="29" t="inlineStr">
        <is>
          <t>Indirect cost</t>
        </is>
      </c>
      <c r="B24" s="18">
        <f>B9-B23</f>
        <v/>
      </c>
      <c r="C24" s="18">
        <f>C9-C23</f>
        <v/>
      </c>
      <c r="D24" s="18">
        <f>D9-D23</f>
        <v/>
      </c>
      <c r="E24" s="18">
        <f>E9-E23</f>
        <v/>
      </c>
      <c r="F24" s="45">
        <f>SUM(B24:E24)</f>
        <v/>
      </c>
    </row>
    <row r="25">
      <c r="A25" s="29" t="inlineStr">
        <is>
          <t>Indirect as a share of program cost</t>
        </is>
      </c>
      <c r="B25" s="31">
        <f>B24/B9</f>
        <v/>
      </c>
      <c r="C25" s="31">
        <f>C24/C9</f>
        <v/>
      </c>
      <c r="D25" s="31">
        <f>D24/D9</f>
        <v/>
      </c>
      <c r="E25" s="31">
        <f>E24/E9</f>
        <v/>
      </c>
      <c r="F25" s="48">
        <f>F24/F9</f>
        <v/>
      </c>
    </row>
    <row r="27" ht="18" customHeight="1">
      <c r="A27" s="6" t="inlineStr">
        <is>
          <t>Delivery capacity</t>
        </is>
      </c>
      <c r="B27" s="7" t="n"/>
      <c r="C27" s="7" t="n"/>
      <c r="D27" s="7" t="n"/>
      <c r="E27" s="7" t="n"/>
      <c r="F27" s="7" t="n"/>
      <c r="G27" s="7" t="n"/>
      <c r="H27" s="7" t="n"/>
    </row>
    <row r="28">
      <c r="A28" s="29" t="inlineStr">
        <is>
          <t>Staff hours consumed</t>
        </is>
      </c>
      <c r="B28" s="46">
        <f>'Program inputs'!B6*'Program inputs'!B15</f>
        <v/>
      </c>
      <c r="C28" s="46">
        <f>'Program inputs'!C6*'Program inputs'!C15</f>
        <v/>
      </c>
      <c r="D28" s="46">
        <f>'Program inputs'!D6*'Program inputs'!D15</f>
        <v/>
      </c>
      <c r="E28" s="46">
        <f>'Program inputs'!E6*'Program inputs'!E15</f>
        <v/>
      </c>
      <c r="F28" s="47">
        <f>SUM(B28:E28)</f>
        <v/>
      </c>
    </row>
    <row r="29">
      <c r="A29" s="29" t="inlineStr">
        <is>
          <t>Implied programme FTE</t>
        </is>
      </c>
      <c r="B29" s="46">
        <f>B28/1680</f>
        <v/>
      </c>
      <c r="C29" s="46">
        <f>C28/1680</f>
        <v/>
      </c>
      <c r="D29" s="46">
        <f>D28/1680</f>
        <v/>
      </c>
      <c r="E29" s="46">
        <f>E28/1680</f>
        <v/>
      </c>
      <c r="F29" s="47">
        <f>SUM(B29:E29)</f>
        <v/>
      </c>
    </row>
    <row r="30" ht="26" customHeight="1">
      <c r="A30" s="29" t="inlineStr">
        <is>
          <t>Staff hours per successful outcome</t>
        </is>
      </c>
      <c r="B30" s="46">
        <f>B28/B8</f>
        <v/>
      </c>
      <c r="C30" s="46">
        <f>C28/C8</f>
        <v/>
      </c>
      <c r="D30" s="46">
        <f>D28/D8</f>
        <v/>
      </c>
      <c r="E30" s="46">
        <f>E28/E8</f>
        <v/>
      </c>
      <c r="F30" s="47">
        <f>F28/F8</f>
        <v/>
      </c>
      <c r="H30" s="23" t="inlineStr">
        <is>
          <t>The capacity equivalent of cost per outcome. Money is not the only scarce input.</t>
        </is>
      </c>
    </row>
    <row r="31" ht="26" customHeight="1">
      <c r="A31" s="29" t="inlineStr">
        <is>
          <t>Capacity utilisation</t>
        </is>
      </c>
      <c r="B31" s="31">
        <f>B6/'Program inputs'!B16</f>
        <v/>
      </c>
      <c r="C31" s="31">
        <f>C6/'Program inputs'!C16</f>
        <v/>
      </c>
      <c r="D31" s="31">
        <f>D6/'Program inputs'!D16</f>
        <v/>
      </c>
      <c r="E31" s="31">
        <f>E6/'Program inputs'!E16</f>
        <v/>
      </c>
      <c r="F31" s="48">
        <f>F6/SUM('Program inputs'!B16:'Program inputs'!E16)</f>
        <v/>
      </c>
      <c r="H31" s="23" t="inlineStr">
        <is>
          <t>How full each programme is against its ceiling. Headroom here is what the allocation model can actually buy.</t>
        </is>
      </c>
    </row>
    <row r="32" ht="26" customHeight="1">
      <c r="A32" s="29" t="inlineStr">
        <is>
          <t>Funding utilisation against minimum viable</t>
        </is>
      </c>
      <c r="B32" s="32">
        <f>B9/'Program inputs'!B17</f>
        <v/>
      </c>
      <c r="C32" s="32">
        <f>C9/'Program inputs'!C17</f>
        <v/>
      </c>
      <c r="D32" s="32">
        <f>D9/'Program inputs'!D17</f>
        <v/>
      </c>
      <c r="E32" s="32">
        <f>E9/'Program inputs'!E17</f>
        <v/>
      </c>
      <c r="F32" s="52">
        <f>F9/SUM('Program inputs'!B17:'Program inputs'!E17)</f>
        <v/>
      </c>
      <c r="H32" s="23" t="inlineStr">
        <is>
          <t>How far above its funding floor each programme sits. A ratio near 1.0 means the programme has no room to absorb a cut without losing its team.</t>
        </is>
      </c>
    </row>
    <row r="34" ht="18" customHeight="1">
      <c r="A34" s="6" t="inlineStr">
        <is>
          <t>Outcome value</t>
        </is>
      </c>
      <c r="B34" s="7" t="n"/>
      <c r="C34" s="7" t="n"/>
      <c r="D34" s="7" t="n"/>
      <c r="E34" s="7" t="n"/>
      <c r="F34" s="7" t="n"/>
      <c r="G34" s="7" t="n"/>
      <c r="H34" s="7" t="n"/>
    </row>
    <row r="35">
      <c r="A35" s="29" t="inlineStr">
        <is>
          <t>Average salary gain per placement</t>
        </is>
      </c>
      <c r="B35" s="18">
        <f>'Program inputs'!B20</f>
        <v/>
      </c>
      <c r="C35" s="18">
        <f>'Program inputs'!C20</f>
        <v/>
      </c>
      <c r="D35" s="18">
        <f>'Program inputs'!D20</f>
        <v/>
      </c>
      <c r="E35" s="18">
        <f>'Program inputs'!E20</f>
        <v/>
      </c>
      <c r="F35" s="45">
        <f>F36/F8</f>
        <v/>
      </c>
    </row>
    <row r="36">
      <c r="A36" s="29" t="inlineStr">
        <is>
          <t>Total first-year earnings gain</t>
        </is>
      </c>
      <c r="B36" s="18">
        <f>B8*B35</f>
        <v/>
      </c>
      <c r="C36" s="18">
        <f>C8*C35</f>
        <v/>
      </c>
      <c r="D36" s="18">
        <f>D8*D35</f>
        <v/>
      </c>
      <c r="E36" s="18">
        <f>E8*E35</f>
        <v/>
      </c>
      <c r="F36" s="45">
        <f>SUM(B36:E36)</f>
        <v/>
      </c>
    </row>
    <row r="37" ht="26" customHeight="1">
      <c r="A37" s="29" t="inlineStr">
        <is>
          <t>Earnings gain per dollar of programme cost</t>
        </is>
      </c>
      <c r="B37" s="32">
        <f>B36/B9</f>
        <v/>
      </c>
      <c r="C37" s="32">
        <f>C36/C9</f>
        <v/>
      </c>
      <c r="D37" s="32">
        <f>D36/D9</f>
        <v/>
      </c>
      <c r="E37" s="32">
        <f>E36/E9</f>
        <v/>
      </c>
      <c r="F37" s="52">
        <f>F36/F9</f>
        <v/>
      </c>
      <c r="H37" s="23" t="inlineStr">
        <is>
          <t>First-year gross earnings gain per dollar spent. Not a social return figure - no attribution, deadweight, drop-off or discounting has been applied yet.</t>
        </is>
      </c>
    </row>
  </sheetData>
  <conditionalFormatting sqref="B15:E15">
    <cfRule type="colorScale" priority="1">
      <colorScale>
        <cfvo type="min"/>
        <cfvo type="max"/>
        <color rgb="0063BE7B"/>
        <color rgb="00F8696B"/>
      </colorScale>
    </cfRule>
  </conditionalFormatting>
  <conditionalFormatting sqref="B37:E37">
    <cfRule type="colorScale" priority="2">
      <colorScale>
        <cfvo type="min"/>
        <cfvo type="max"/>
        <color rgb="00F8696B"/>
        <color rgb="0063BE7B"/>
      </colorScale>
    </cfRule>
  </conditionalFormatting>
  <conditionalFormatting sqref="B31:E31">
    <cfRule type="dataBar" priority="3">
      <dataBar>
        <cfvo type="num" val="0"/>
        <cfvo type="num" val="1"/>
        <color rgb="0012324F"/>
      </dataBar>
    </cfRule>
  </conditionalFormatting>
  <pageMargins left="0.75" right="0.75" top="1" bottom="1" header="0.5" footer="0.5"/>
</worksheet>
</file>

<file path=xl/worksheets/sheet6.xml><?xml version="1.0" encoding="utf-8"?>
<worksheet xmlns="http://schemas.openxmlformats.org/spreadsheetml/2006/main">
  <sheetPr>
    <tabColor rgb="009A3412"/>
    <outlinePr summaryBelow="1" summaryRight="1"/>
    <pageSetUpPr/>
  </sheetPr>
  <dimension ref="A1:H39"/>
  <sheetViews>
    <sheetView showGridLines="0" workbookViewId="0">
      <selection activeCell="A1" sqref="A1"/>
    </sheetView>
  </sheetViews>
  <sheetFormatPr baseColWidth="8" defaultRowHeight="15"/>
  <cols>
    <col width="48" customWidth="1" min="1" max="1"/>
    <col width="16" customWidth="1" min="2" max="2"/>
    <col width="16" customWidth="1" min="3" max="3"/>
    <col width="16" customWidth="1" min="4" max="4"/>
    <col width="16" customWidth="1" min="5" max="5"/>
    <col width="16" customWidth="1" min="6" max="6"/>
    <col width="3" customWidth="1" min="7" max="7"/>
    <col width="54" customWidth="1" min="8" max="8"/>
  </cols>
  <sheetData>
    <row r="1" ht="24" customHeight="1">
      <c r="A1" s="1" t="inlineStr">
        <is>
          <t>Social return on investment - low confidence, reported as a range</t>
        </is>
      </c>
    </row>
    <row r="2">
      <c r="A2" s="2" t="inlineStr">
        <is>
          <t>This is the least reliable analysis in the project and is placed last deliberately.</t>
        </is>
      </c>
    </row>
    <row r="3">
      <c r="A3" s="3" t="n"/>
      <c r="B3" s="3" t="n"/>
      <c r="C3" s="3" t="n"/>
      <c r="D3" s="3" t="n"/>
      <c r="E3" s="3" t="n"/>
      <c r="F3" s="3" t="n"/>
      <c r="G3" s="3" t="n"/>
      <c r="H3" s="3" t="n"/>
    </row>
    <row r="4" ht="56" customHeight="1">
      <c r="A4" s="53" t="inlineStr">
        <is>
          <t>Read this before quoting any number below. Every parameter driving these ratios - attribution, deadweight, drop-off, persistence, benefit horizon - is an assumption with no empirical support in this project. The headline ratio moves by more than a factor of five across plausible values. Cost per successful outcome, on 'Program economics', rests on far fewer assumptions and is the measure management should steer on.</t>
        </is>
      </c>
    </row>
    <row r="6" ht="18" customHeight="1">
      <c r="A6" s="6" t="inlineStr">
        <is>
          <t>Parameters</t>
        </is>
      </c>
      <c r="B6" s="7" t="n"/>
      <c r="C6" s="7" t="n"/>
      <c r="D6" s="7" t="n"/>
      <c r="E6" s="7" t="n"/>
      <c r="F6" s="7" t="n"/>
      <c r="G6" s="7" t="n"/>
      <c r="H6" s="7" t="n"/>
    </row>
    <row r="7" ht="30" customHeight="1">
      <c r="A7" s="4" t="inlineStr">
        <is>
          <t>Parameter</t>
        </is>
      </c>
      <c r="B7" s="5" t="inlineStr">
        <is>
          <t>Value</t>
        </is>
      </c>
      <c r="C7" s="5" t="inlineStr"/>
      <c r="D7" s="5" t="inlineStr"/>
      <c r="E7" s="5" t="inlineStr"/>
      <c r="F7" s="5" t="inlineStr"/>
      <c r="G7" s="5" t="inlineStr"/>
      <c r="H7" s="5" t="inlineStr">
        <is>
          <t>What it does</t>
        </is>
      </c>
    </row>
    <row r="8" ht="26" customHeight="1">
      <c r="A8" s="8" t="inlineStr">
        <is>
          <t>Benefit horizon years</t>
        </is>
      </c>
      <c r="B8" s="54" t="n">
        <v>3</v>
      </c>
      <c r="H8" s="23" t="inlineStr">
        <is>
          <t>Number of years the earnings gain is counted for. Doubling it roughly doubles the ratio.</t>
        </is>
      </c>
    </row>
    <row r="9" ht="26" customHeight="1">
      <c r="A9" s="8" t="inlineStr">
        <is>
          <t>Discount rate</t>
        </is>
      </c>
      <c r="B9" s="16" t="n">
        <v>0.03</v>
      </c>
      <c r="H9" s="23" t="inlineStr">
        <is>
          <t>Applied to future years of benefit.</t>
        </is>
      </c>
    </row>
    <row r="10" ht="26" customHeight="1">
      <c r="A10" s="8" t="inlineStr">
        <is>
          <t>Attribution rate</t>
        </is>
      </c>
      <c r="B10" s="16" t="n">
        <v>0.55</v>
      </c>
      <c r="H10" s="23" t="inlineStr">
        <is>
          <t>Share of the earnings gain credited to the program rather than to the participant's own effort, credentials and labour market conditions. The single most consequential assumption here.</t>
        </is>
      </c>
    </row>
    <row r="11" ht="26" customHeight="1">
      <c r="A11" s="8" t="inlineStr">
        <is>
          <t>Deadweight rate</t>
        </is>
      </c>
      <c r="B11" s="16" t="n">
        <v>0.25</v>
      </c>
      <c r="H11" s="23" t="inlineStr">
        <is>
          <t>Share of the gain that would have occurred anyway without the program.</t>
        </is>
      </c>
    </row>
    <row r="12" ht="26" customHeight="1">
      <c r="A12" s="8" t="inlineStr">
        <is>
          <t>Dropoff rate</t>
        </is>
      </c>
      <c r="B12" s="16" t="n">
        <v>0.2</v>
      </c>
      <c r="H12" s="23" t="inlineStr">
        <is>
          <t>Annual decay in the attributable benefit as the program's influence fades.</t>
        </is>
      </c>
    </row>
    <row r="13" ht="26" customHeight="1">
      <c r="A13" s="8" t="inlineStr">
        <is>
          <t>Persistence rate</t>
        </is>
      </c>
      <c r="B13" s="16" t="n">
        <v>0.78</v>
      </c>
      <c r="H13" s="23" t="inlineStr">
        <is>
          <t>Share of placements still employed at twelve months.</t>
        </is>
      </c>
    </row>
    <row r="15" ht="18" customHeight="1">
      <c r="A15" s="6" t="inlineStr">
        <is>
          <t>Result at the stated parameters</t>
        </is>
      </c>
      <c r="B15" s="7" t="n"/>
      <c r="C15" s="7" t="n"/>
      <c r="D15" s="7" t="n"/>
      <c r="E15" s="7" t="n"/>
      <c r="F15" s="7" t="n"/>
      <c r="G15" s="7" t="n"/>
      <c r="H15" s="7" t="n"/>
    </row>
    <row r="16" ht="30" customHeight="1">
      <c r="A16" s="4" t="inlineStr">
        <is>
          <t>Measure</t>
        </is>
      </c>
      <c r="B16" s="5" t="inlineStr">
        <is>
          <t>Career Coaching</t>
        </is>
      </c>
      <c r="C16" s="5" t="inlineStr">
        <is>
          <t>Digital Learning</t>
        </is>
      </c>
      <c r="D16" s="5" t="inlineStr">
        <is>
          <t>Credential Support</t>
        </is>
      </c>
      <c r="E16" s="5" t="inlineStr">
        <is>
          <t>Partner Capacity</t>
        </is>
      </c>
      <c r="F16" s="5" t="inlineStr">
        <is>
          <t>Portfolio</t>
        </is>
      </c>
      <c r="G16" s="5" t="inlineStr"/>
      <c r="H16" s="5" t="inlineStr"/>
    </row>
    <row r="17">
      <c r="A17" s="29" t="inlineStr">
        <is>
          <t>Gross first-year earnings gain</t>
        </is>
      </c>
      <c r="B17" s="55" t="n">
        <v>52521000</v>
      </c>
      <c r="C17" s="55" t="n">
        <v>12321000</v>
      </c>
      <c r="D17" s="55" t="n">
        <v>19096000</v>
      </c>
      <c r="E17" s="55" t="n">
        <v>3859500</v>
      </c>
    </row>
    <row r="18">
      <c r="A18" s="29" t="inlineStr">
        <is>
          <t>Present value over the horizon</t>
        </is>
      </c>
      <c r="B18" s="55" t="n">
        <v>109052982.5808276</v>
      </c>
      <c r="C18" s="55" t="n">
        <v>25582943.93439533</v>
      </c>
      <c r="D18" s="55" t="n">
        <v>39650344.72617589</v>
      </c>
      <c r="E18" s="55" t="n">
        <v>8013746.620793666</v>
      </c>
    </row>
    <row r="19">
      <c r="A19" s="29" t="inlineStr">
        <is>
          <t>Attributable value after deadweight</t>
        </is>
      </c>
      <c r="B19" s="55" t="n">
        <v>44984355.31459139</v>
      </c>
      <c r="C19" s="55" t="n">
        <v>10552964.37293807</v>
      </c>
      <c r="D19" s="55" t="n">
        <v>16355767.19954756</v>
      </c>
      <c r="E19" s="55" t="n">
        <v>3305670.481077387</v>
      </c>
      <c r="F19" s="56" t="n">
        <v>75198757.36815441</v>
      </c>
    </row>
    <row r="20">
      <c r="A20" s="29" t="inlineStr">
        <is>
          <t>Program cost</t>
        </is>
      </c>
      <c r="B20" s="55" t="n">
        <v>7890000.060496089</v>
      </c>
      <c r="C20" s="55" t="n">
        <v>2220000.017021713</v>
      </c>
      <c r="D20" s="55" t="n">
        <v>2940000.022542269</v>
      </c>
      <c r="E20" s="55" t="n">
        <v>1296382.009939929</v>
      </c>
      <c r="F20" s="56" t="n">
        <v>14346382.11</v>
      </c>
    </row>
    <row r="21">
      <c r="A21" s="29" t="inlineStr">
        <is>
          <t>Social return ratio</t>
        </is>
      </c>
      <c r="B21" s="57" t="n">
        <v>5.701439159654831</v>
      </c>
      <c r="C21" s="57" t="n">
        <v>4.753587518929671</v>
      </c>
      <c r="D21" s="57" t="n">
        <v>5.5631860796397</v>
      </c>
      <c r="E21" s="57" t="n">
        <v>2.54992005113567</v>
      </c>
      <c r="F21" s="58" t="n">
        <v>5.241653037788383</v>
      </c>
    </row>
    <row r="24" ht="18" customHeight="1">
      <c r="A24" s="6" t="inlineStr">
        <is>
          <t>How unstable that number is</t>
        </is>
      </c>
      <c r="B24" s="7" t="n"/>
      <c r="C24" s="7" t="n"/>
      <c r="D24" s="7" t="n"/>
      <c r="E24" s="7" t="n"/>
      <c r="F24" s="7" t="n"/>
      <c r="G24" s="7" t="n"/>
      <c r="H24" s="7" t="n"/>
    </row>
    <row r="25" ht="30" customHeight="1">
      <c r="A25" s="4" t="inlineStr">
        <is>
          <t>Attribution rate</t>
        </is>
      </c>
      <c r="B25" s="5" t="inlineStr">
        <is>
          <t>1-year horizon</t>
        </is>
      </c>
      <c r="C25" s="5" t="inlineStr">
        <is>
          <t>3-year horizon</t>
        </is>
      </c>
      <c r="D25" s="5" t="inlineStr">
        <is>
          <t>5-year horizon</t>
        </is>
      </c>
      <c r="E25" s="5" t="inlineStr"/>
      <c r="F25" s="5" t="inlineStr"/>
      <c r="G25" s="5" t="inlineStr"/>
      <c r="H25" s="5" t="inlineStr"/>
    </row>
    <row r="26">
      <c r="A26" s="29" t="inlineStr">
        <is>
          <t>35%</t>
        </is>
      </c>
      <c r="B26" s="57" t="n">
        <v>1.606456845585859</v>
      </c>
      <c r="C26" s="57" t="n">
        <v>3.335597387683515</v>
      </c>
      <c r="D26" s="57" t="n">
        <v>4.378721100514602</v>
      </c>
    </row>
    <row r="27">
      <c r="A27" s="29" t="inlineStr">
        <is>
          <t>45%</t>
        </is>
      </c>
      <c r="B27" s="57" t="n">
        <v>2.065444515753247</v>
      </c>
      <c r="C27" s="57" t="n">
        <v>4.288625212735949</v>
      </c>
      <c r="D27" s="57" t="n">
        <v>5.629784272090204</v>
      </c>
    </row>
    <row r="28">
      <c r="A28" s="29" t="inlineStr">
        <is>
          <t>55%</t>
        </is>
      </c>
      <c r="B28" s="57" t="n">
        <v>2.524432185920635</v>
      </c>
      <c r="C28" s="57" t="n">
        <v>5.241653037788383</v>
      </c>
      <c r="D28" s="57" t="n">
        <v>6.880847443665805</v>
      </c>
    </row>
    <row r="29">
      <c r="A29" s="29" t="inlineStr">
        <is>
          <t>65%</t>
        </is>
      </c>
      <c r="B29" s="57" t="n">
        <v>2.983419856088024</v>
      </c>
      <c r="C29" s="57" t="n">
        <v>6.194680862840816</v>
      </c>
      <c r="D29" s="57" t="n">
        <v>8.131910615241406</v>
      </c>
    </row>
    <row r="30">
      <c r="A30" s="29" t="inlineStr">
        <is>
          <t>75%</t>
        </is>
      </c>
      <c r="B30" s="57" t="n">
        <v>3.442407526255412</v>
      </c>
      <c r="C30" s="57" t="n">
        <v>7.147708687893247</v>
      </c>
      <c r="D30" s="57" t="n">
        <v>9.382973786817008</v>
      </c>
    </row>
    <row r="32" ht="52" customHeight="1">
      <c r="A32" s="21" t="inlineStr">
        <is>
          <t>The portfolio ratio ranges from 1.61 to 9.38 across this grid alone - a spread of 5.8 times - and the grid varies only two of the six parameters. A social return figure quoted without its assumptions is not a finding; it is a decoration. That is why the management report leads on cost per successful outcome instead.</t>
        </is>
      </c>
    </row>
    <row r="34" ht="18" customHeight="1">
      <c r="A34" s="6" t="inlineStr">
        <is>
          <t>What is deliberately excluded</t>
        </is>
      </c>
      <c r="B34" s="7" t="n"/>
      <c r="C34" s="7" t="n"/>
      <c r="D34" s="7" t="n"/>
      <c r="E34" s="7" t="n"/>
      <c r="F34" s="7" t="n"/>
      <c r="G34" s="7" t="n"/>
      <c r="H34" s="7" t="n"/>
    </row>
    <row r="35" ht="26" customHeight="1">
      <c r="A35" s="27" t="inlineStr">
        <is>
          <t>- Fiscal effects. Higher earnings generate additional tax revenue and reduce transfer payments. Both are real and both are commonly used to inflate social return figures. Neither is included here.</t>
        </is>
      </c>
    </row>
    <row r="36" ht="26" customHeight="1">
      <c r="A36" s="27" t="inlineStr">
        <is>
          <t>- Second-order and household effects. Effects on participants' children, on household stability, on health outcomes. Plausibly large, entirely unmeasured in this project.</t>
        </is>
      </c>
    </row>
    <row r="37" ht="26" customHeight="1">
      <c r="A37" s="27" t="inlineStr">
        <is>
          <t>- Employer-side value. The value to employers of filling skilled roles they could not otherwise fill. Real, and not estimable from public data.</t>
        </is>
      </c>
    </row>
    <row r="38" ht="26" customHeight="1">
      <c r="A38" s="27" t="inlineStr">
        <is>
          <t>- Earnings gains beyond the stated horizon. Placements plainly produce value past year three or five; the horizon is a modelling convenience, not a claim that the benefit stops.</t>
        </is>
      </c>
    </row>
    <row r="39" ht="26" customHeight="1">
      <c r="A39" s="27" t="inlineStr">
        <is>
          <t>- Any counterfactual evidence at all. There is no comparison group here. Attribution and deadweight are assumptions standing in for a study that has not been done, and no amount of arithmetic can substitute for one.</t>
        </is>
      </c>
    </row>
  </sheetData>
  <mergeCells count="7">
    <mergeCell ref="A4:H4"/>
    <mergeCell ref="A39:H39"/>
    <mergeCell ref="A35:H35"/>
    <mergeCell ref="A38:H38"/>
    <mergeCell ref="A36:H36"/>
    <mergeCell ref="A37:H37"/>
    <mergeCell ref="A32:H32"/>
  </mergeCells>
  <conditionalFormatting sqref="B26:D30">
    <cfRule type="colorScale" priority="1">
      <colorScale>
        <cfvo type="min"/>
        <cfvo type="max"/>
        <color rgb="00FFFFFF"/>
        <color rgb="00F8696B"/>
      </colorScale>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2026-09-10T18:32:38Z</dcterms:created>
  <dcterms:modified xmlns:dcterms="http://purl.org/dc/terms/" xmlns:xsi="http://www.w3.org/2001/XMLSchema-instance" xsi:type="dcterms:W3CDTF">2026-09-10T18:32:38Z</dcterms:modified>
</cp:coreProperties>
</file>