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Form 990 data" sheetId="2" state="visible" r:id="rId2"/>
    <sheet xmlns:r="http://schemas.openxmlformats.org/officeDocument/2006/relationships" name="Model inputs" sheetId="3" state="visible" r:id="rId3"/>
    <sheet xmlns:r="http://schemas.openxmlformats.org/officeDocument/2006/relationships" name="Historical analysis" sheetId="4" state="visible" r:id="rId4"/>
    <sheet xmlns:r="http://schemas.openxmlformats.org/officeDocument/2006/relationships" name="Forecast" sheetId="5" state="visible" r:id="rId5"/>
  </sheets>
  <definedNames/>
  <calcPr calcId="124519" fullCalcOnLoad="1"/>
</workbook>
</file>

<file path=xl/styles.xml><?xml version="1.0" encoding="utf-8"?>
<styleSheet xmlns="http://schemas.openxmlformats.org/spreadsheetml/2006/main">
  <numFmts count="9">
    <numFmt numFmtId="164" formatCode="#,##0;[Red](#,##0);&quot;-&quot;"/>
    <numFmt numFmtId="165" formatCode="#,##0.0;[Red](#,##0.0);&quot;-&quot;"/>
    <numFmt numFmtId="166" formatCode="0.0%;[Red](0.0%);&quot;-&quot;"/>
    <numFmt numFmtId="167" formatCode="#,##0.00;[Red](#,##0.00);&quot;-&quot;"/>
    <numFmt numFmtId="168" formatCode="0.00%;[Red](0.00%);&quot;-&quot;"/>
    <numFmt numFmtId="169" formatCode="0.00&quot;x&quot;"/>
    <numFmt numFmtId="170" formatCode="0.0&quot; mo&quot;"/>
    <numFmt numFmtId="171" formatCode="$#,##0;[Red]($#,##0);&quot;-&quot;"/>
    <numFmt numFmtId="172" formatCode="$0.00"/>
  </numFmts>
  <fonts count="18">
    <font>
      <name val="Calibri"/>
      <family val="2"/>
      <color theme="1"/>
      <sz val="11"/>
      <scheme val="minor"/>
    </font>
    <font>
      <name val="Calibri"/>
      <b val="1"/>
      <color rgb="0012324F"/>
      <sz val="15"/>
    </font>
    <font>
      <name val="Calibri"/>
      <i val="1"/>
      <color rgb="005F6B7A"/>
      <sz val="9.5"/>
    </font>
    <font>
      <name val="Calibri"/>
      <b val="1"/>
      <color rgb="0012324F"/>
      <sz val="10"/>
    </font>
    <font>
      <name val="Calibri"/>
      <b val="1"/>
      <color rgb="00FFFFFF"/>
      <sz val="11"/>
    </font>
    <font>
      <name val="Calibri"/>
      <color rgb="001A1A1A"/>
      <sz val="10"/>
    </font>
    <font>
      <name val="Calibri"/>
      <color rgb="000033CC"/>
      <sz val="10"/>
    </font>
    <font>
      <name val="Calibri"/>
      <b val="1"/>
      <color rgb="00FFFFFF"/>
      <sz val="8.5"/>
    </font>
    <font>
      <name val="Calibri"/>
      <color rgb="005F6B7A"/>
      <sz val="8.5"/>
    </font>
    <font>
      <name val="Calibri"/>
      <b val="1"/>
      <color rgb="001A1A1A"/>
      <sz val="10"/>
    </font>
    <font>
      <name val="Calibri"/>
      <i val="1"/>
      <color rgb="005F6B7A"/>
      <sz val="9"/>
    </font>
    <font>
      <name val="Calibri"/>
      <i val="1"/>
      <color rgb="000B6E4F"/>
      <sz val="8.5"/>
    </font>
    <font>
      <name val="Calibri"/>
      <color rgb="001A1A1A"/>
      <sz val="9.5"/>
    </font>
    <font>
      <name val="Calibri"/>
      <i val="1"/>
      <color rgb="005F6B7A"/>
      <sz val="10"/>
    </font>
    <font>
      <name val="Calibri"/>
      <b val="1"/>
      <i val="1"/>
      <color rgb="005F6B7A"/>
      <sz val="10"/>
    </font>
    <font>
      <name val="Calibri"/>
      <b val="1"/>
      <color rgb="0012324F"/>
      <sz val="13"/>
    </font>
    <font>
      <name val="Calibri"/>
      <b val="1"/>
      <color rgb="0012324F"/>
      <sz val="9"/>
    </font>
    <font>
      <name val="Calibri"/>
      <color rgb="001A1A1A"/>
      <sz val="9"/>
    </font>
  </fonts>
  <fills count="8">
    <fill>
      <patternFill/>
    </fill>
    <fill>
      <patternFill patternType="gray125"/>
    </fill>
    <fill>
      <patternFill patternType="solid">
        <fgColor rgb="00E8EEF4"/>
      </patternFill>
    </fill>
    <fill>
      <patternFill patternType="solid">
        <fgColor rgb="0012324F"/>
      </patternFill>
    </fill>
    <fill>
      <patternFill patternType="solid">
        <fgColor rgb="001B5E20"/>
      </patternFill>
    </fill>
    <fill>
      <patternFill patternType="solid">
        <fgColor rgb="000D47A1"/>
      </patternFill>
    </fill>
    <fill>
      <patternFill patternType="solid">
        <fgColor rgb="00B71C1C"/>
      </patternFill>
    </fill>
    <fill>
      <patternFill patternType="solid">
        <fgColor rgb="004A148C"/>
      </patternFill>
    </fill>
  </fills>
  <borders count="4">
    <border>
      <left/>
      <right/>
      <top/>
      <bottom/>
      <diagonal/>
    </border>
    <border>
      <bottom style="medium">
        <color rgb="0012324F"/>
      </bottom>
    </border>
    <border>
      <left style="thin">
        <color rgb="00C7D2DC"/>
      </left>
      <right style="thin">
        <color rgb="00C7D2DC"/>
      </right>
      <top style="thin">
        <color rgb="00C7D2DC"/>
      </top>
      <bottom style="medium">
        <color rgb="0012324F"/>
      </bottom>
    </border>
    <border>
      <top style="thin">
        <color rgb="0012324F"/>
      </top>
    </border>
  </borders>
  <cellStyleXfs count="1">
    <xf numFmtId="0" fontId="0" fillId="0" borderId="0"/>
  </cellStyleXfs>
  <cellXfs count="7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xf>
    <xf numFmtId="0" fontId="0" fillId="0" borderId="1" pivotButton="0" quotePrefix="0" xfId="0"/>
    <xf numFmtId="0" fontId="7" fillId="3" borderId="0" applyAlignment="1" pivotButton="0" quotePrefix="0" xfId="0">
      <alignment horizontal="center" vertical="center" wrapText="1"/>
    </xf>
    <xf numFmtId="171" fontId="15" fillId="2" borderId="1" applyAlignment="1" pivotButton="0" quotePrefix="0" xfId="0">
      <alignment horizontal="center" vertical="center"/>
    </xf>
    <xf numFmtId="166" fontId="15" fillId="2" borderId="1" applyAlignment="1" pivotButton="0" quotePrefix="0" xfId="0">
      <alignment horizontal="center" vertical="center"/>
    </xf>
    <xf numFmtId="172" fontId="15" fillId="2" borderId="1" applyAlignment="1" pivotButton="0" quotePrefix="0" xfId="0">
      <alignment horizontal="center" vertical="center"/>
    </xf>
    <xf numFmtId="170" fontId="15" fillId="2" borderId="1" applyAlignment="1" pivotButton="0" quotePrefix="0" xfId="0">
      <alignment horizontal="center" vertical="center"/>
    </xf>
    <xf numFmtId="169" fontId="15" fillId="2" borderId="1" applyAlignment="1" pivotButton="0" quotePrefix="0" xfId="0">
      <alignment horizontal="center" vertical="center"/>
    </xf>
    <xf numFmtId="0" fontId="4" fillId="3" borderId="0" pivotButton="0" quotePrefix="0" xfId="0"/>
    <xf numFmtId="0" fontId="0" fillId="3" borderId="0" pivotButton="0" quotePrefix="0" xfId="0"/>
    <xf numFmtId="0" fontId="9" fillId="0" borderId="0" applyAlignment="1" pivotButton="0" quotePrefix="0" xfId="0">
      <alignment horizontal="left" vertical="center"/>
    </xf>
    <xf numFmtId="0" fontId="16" fillId="0" borderId="0" applyAlignment="1" pivotButton="0" quotePrefix="0" xfId="0">
      <alignment horizontal="center"/>
    </xf>
    <xf numFmtId="0" fontId="12" fillId="0" borderId="0" applyAlignment="1" pivotButton="0" quotePrefix="0" xfId="0">
      <alignment horizontal="left" vertical="center"/>
    </xf>
    <xf numFmtId="164" fontId="17" fillId="0" borderId="0" applyAlignment="1" pivotButton="0" quotePrefix="0" xfId="0">
      <alignment horizontal="right"/>
    </xf>
    <xf numFmtId="164" fontId="10" fillId="0" borderId="0" applyAlignment="1" pivotButton="0" quotePrefix="0" xfId="0">
      <alignment horizontal="right"/>
    </xf>
    <xf numFmtId="165" fontId="17" fillId="0" borderId="0" applyAlignment="1" pivotButton="0" quotePrefix="0" xfId="0">
      <alignment horizontal="right"/>
    </xf>
    <xf numFmtId="165" fontId="10" fillId="0" borderId="0" applyAlignment="1" pivotButton="0" quotePrefix="0" xfId="0">
      <alignment horizontal="right"/>
    </xf>
    <xf numFmtId="166" fontId="17" fillId="0" borderId="0" applyAlignment="1" pivotButton="0" quotePrefix="0" xfId="0">
      <alignment horizontal="right"/>
    </xf>
    <xf numFmtId="166" fontId="10" fillId="0" borderId="0" applyAlignment="1" pivotButton="0" quotePrefix="0" xfId="0">
      <alignment horizontal="right"/>
    </xf>
    <xf numFmtId="170" fontId="17" fillId="0" borderId="0" applyAlignment="1" pivotButton="0" quotePrefix="0" xfId="0">
      <alignment horizontal="right"/>
    </xf>
    <xf numFmtId="170" fontId="10" fillId="0" borderId="0" applyAlignment="1" pivotButton="0" quotePrefix="0" xfId="0">
      <alignment horizontal="right"/>
    </xf>
    <xf numFmtId="0" fontId="3" fillId="2" borderId="2" applyAlignment="1" pivotButton="0" quotePrefix="0" xfId="0">
      <alignment horizontal="left" vertical="center" wrapText="1"/>
    </xf>
    <xf numFmtId="0" fontId="3" fillId="2" borderId="2" applyAlignment="1" pivotButton="0" quotePrefix="0" xfId="0">
      <alignment horizontal="center" vertical="center" wrapText="1"/>
    </xf>
    <xf numFmtId="0" fontId="5" fillId="0" borderId="0" applyAlignment="1" pivotButton="0" quotePrefix="0" xfId="0">
      <alignment horizontal="left" vertical="center"/>
    </xf>
    <xf numFmtId="164" fontId="6" fillId="0" borderId="0" applyAlignment="1" pivotButton="0" quotePrefix="0" xfId="0">
      <alignment horizontal="right" vertical="center"/>
    </xf>
    <xf numFmtId="0" fontId="7" fillId="4" borderId="0" applyAlignment="1" pivotButton="0" quotePrefix="0" xfId="0">
      <alignment horizontal="center" vertical="center"/>
    </xf>
    <xf numFmtId="0" fontId="8" fillId="0" borderId="0" applyAlignment="1" pivotButton="0" quotePrefix="0" xfId="0">
      <alignment vertical="top" wrapText="1"/>
    </xf>
    <xf numFmtId="0" fontId="7" fillId="5" borderId="0" applyAlignment="1" pivotButton="0" quotePrefix="0" xfId="0">
      <alignment horizontal="center" vertical="center"/>
    </xf>
    <xf numFmtId="0" fontId="10" fillId="0" borderId="0" applyAlignment="1" pivotButton="0" quotePrefix="0" xfId="0">
      <alignment horizontal="left" vertical="center"/>
    </xf>
    <xf numFmtId="0" fontId="11" fillId="0" borderId="0" applyAlignment="1" pivotButton="0" quotePrefix="0" xfId="0">
      <alignment horizontal="right"/>
    </xf>
    <xf numFmtId="0" fontId="10" fillId="0" borderId="0" applyAlignment="1" pivotButton="0" quotePrefix="0" xfId="0">
      <alignment vertical="top" wrapText="1"/>
    </xf>
    <xf numFmtId="164" fontId="9" fillId="0" borderId="0" applyAlignment="1" pivotButton="0" quotePrefix="0" xfId="0">
      <alignment horizontal="right"/>
    </xf>
    <xf numFmtId="0" fontId="8" fillId="0" borderId="0" pivotButton="0" quotePrefix="0" xfId="0"/>
    <xf numFmtId="165" fontId="5" fillId="0" borderId="0" applyAlignment="1" pivotButton="0" quotePrefix="0" xfId="0">
      <alignment horizontal="right" vertical="center"/>
    </xf>
    <xf numFmtId="0" fontId="12" fillId="0" borderId="0" applyAlignment="1" pivotButton="0" quotePrefix="0" xfId="0">
      <alignment horizontal="left" vertical="center" indent="1"/>
    </xf>
    <xf numFmtId="166" fontId="5" fillId="0" borderId="0" applyAlignment="1" pivotButton="0" quotePrefix="0" xfId="0">
      <alignment horizontal="right" vertical="center"/>
    </xf>
    <xf numFmtId="166" fontId="6" fillId="0" borderId="0" applyAlignment="1" pivotButton="0" quotePrefix="0" xfId="0">
      <alignment horizontal="right" vertical="center"/>
    </xf>
    <xf numFmtId="0" fontId="7" fillId="6" borderId="0" applyAlignment="1" pivotButton="0" quotePrefix="0" xfId="0">
      <alignment horizontal="center" vertical="center"/>
    </xf>
    <xf numFmtId="164" fontId="5" fillId="0" borderId="0" applyAlignment="1" pivotButton="0" quotePrefix="0" xfId="0">
      <alignment horizontal="right" vertical="center"/>
    </xf>
    <xf numFmtId="167" fontId="5" fillId="0" borderId="0" applyAlignment="1" pivotButton="0" quotePrefix="0" xfId="0">
      <alignment horizontal="right" vertical="center"/>
    </xf>
    <xf numFmtId="0" fontId="3" fillId="0" borderId="3" applyAlignment="1" pivotButton="0" quotePrefix="0" xfId="0">
      <alignment horizontal="left" vertical="center" indent="1"/>
    </xf>
    <xf numFmtId="0" fontId="3" fillId="0" borderId="3" pivotButton="0" quotePrefix="0" xfId="0"/>
    <xf numFmtId="164" fontId="3" fillId="0" borderId="3" pivotButton="0" quotePrefix="0" xfId="0"/>
    <xf numFmtId="165" fontId="6" fillId="0" borderId="0" applyAlignment="1" pivotButton="0" quotePrefix="0" xfId="0">
      <alignment horizontal="right" vertical="center"/>
    </xf>
    <xf numFmtId="165" fontId="3" fillId="0" borderId="3" pivotButton="0" quotePrefix="0" xfId="0"/>
    <xf numFmtId="168" fontId="6" fillId="0" borderId="0" applyAlignment="1" pivotButton="0" quotePrefix="0" xfId="0">
      <alignment horizontal="right" vertical="center"/>
    </xf>
    <xf numFmtId="0" fontId="7" fillId="7" borderId="0" applyAlignment="1" pivotButton="0" quotePrefix="0" xfId="0">
      <alignment horizontal="center" vertical="center"/>
    </xf>
    <xf numFmtId="169" fontId="6" fillId="0" borderId="0" applyAlignment="1" pivotButton="0" quotePrefix="0" xfId="0">
      <alignment horizontal="right" vertical="center"/>
    </xf>
    <xf numFmtId="170" fontId="6" fillId="0" borderId="0" applyAlignment="1" pivotButton="0" quotePrefix="0" xfId="0">
      <alignment horizontal="right" vertical="center"/>
    </xf>
    <xf numFmtId="0" fontId="5" fillId="0" borderId="0" applyAlignment="1" pivotButton="0" quotePrefix="0" xfId="0">
      <alignment horizontal="left" vertical="center" indent="1"/>
    </xf>
    <xf numFmtId="164" fontId="5" fillId="0" borderId="0" applyAlignment="1" pivotButton="0" quotePrefix="0" xfId="0">
      <alignment horizontal="right"/>
    </xf>
    <xf numFmtId="0" fontId="5" fillId="0" borderId="0" applyAlignment="1" pivotButton="0" quotePrefix="0" xfId="0">
      <alignment horizontal="left" vertical="center" indent="2"/>
    </xf>
    <xf numFmtId="49" fontId="5" fillId="0" borderId="0" applyAlignment="1" pivotButton="0" quotePrefix="0" xfId="0">
      <alignment horizontal="right"/>
    </xf>
    <xf numFmtId="166" fontId="5" fillId="0" borderId="0" applyAlignment="1" pivotButton="0" quotePrefix="0" xfId="0">
      <alignment horizontal="right"/>
    </xf>
    <xf numFmtId="0" fontId="10" fillId="0" borderId="0" applyAlignment="1" pivotButton="0" quotePrefix="0" xfId="0">
      <alignment horizontal="right"/>
    </xf>
    <xf numFmtId="168" fontId="5" fillId="0" borderId="0" applyAlignment="1" pivotButton="0" quotePrefix="0" xfId="0">
      <alignment horizontal="right"/>
    </xf>
    <xf numFmtId="169" fontId="5" fillId="0" borderId="0" applyAlignment="1" pivotButton="0" quotePrefix="0" xfId="0">
      <alignment horizontal="right"/>
    </xf>
    <xf numFmtId="170" fontId="5" fillId="0" borderId="0" applyAlignment="1" pivotButton="0" quotePrefix="0" xfId="0">
      <alignment horizontal="right"/>
    </xf>
    <xf numFmtId="165" fontId="5" fillId="0" borderId="0" applyAlignment="1" pivotButton="0" quotePrefix="0" xfId="0">
      <alignment horizontal="right"/>
    </xf>
    <xf numFmtId="166" fontId="3" fillId="0" borderId="0" applyAlignment="1" pivotButton="0" quotePrefix="0" xfId="0">
      <alignment horizontal="right"/>
    </xf>
    <xf numFmtId="164" fontId="3" fillId="0" borderId="0" applyAlignment="1" pivotButton="0" quotePrefix="0" xfId="0">
      <alignment horizontal="right"/>
    </xf>
    <xf numFmtId="1" fontId="3" fillId="0" borderId="0" applyAlignment="1" pivotButton="0" quotePrefix="0" xfId="0">
      <alignment horizontal="right"/>
    </xf>
    <xf numFmtId="165" fontId="3" fillId="0" borderId="0" applyAlignment="1" pivotButton="0" quotePrefix="0" xfId="0">
      <alignment horizontal="right"/>
    </xf>
    <xf numFmtId="165" fontId="13" fillId="0" borderId="0" applyAlignment="1" pivotButton="0" quotePrefix="0" xfId="0">
      <alignment horizontal="right"/>
    </xf>
    <xf numFmtId="167" fontId="13" fillId="0" borderId="0" applyAlignment="1" pivotButton="0" quotePrefix="0" xfId="0">
      <alignment horizontal="right"/>
    </xf>
    <xf numFmtId="167" fontId="5" fillId="0" borderId="0" applyAlignment="1" pivotButton="0" quotePrefix="0" xfId="0">
      <alignment horizontal="right"/>
    </xf>
    <xf numFmtId="164" fontId="13" fillId="0" borderId="0" applyAlignment="1" pivotButton="0" quotePrefix="0" xfId="0">
      <alignment horizontal="right"/>
    </xf>
    <xf numFmtId="164" fontId="14" fillId="0" borderId="0" applyAlignment="1" pivotButton="0" quotePrefix="0" xfId="0">
      <alignment horizontal="right"/>
    </xf>
    <xf numFmtId="166" fontId="13" fillId="0" borderId="0" applyAlignment="1" pivotButton="0" quotePrefix="0" xfId="0">
      <alignment horizontal="right"/>
    </xf>
    <xf numFmtId="170" fontId="13" fillId="0" borderId="0" applyAlignment="1" pivotButton="0" quotePrefix="0" xfId="0">
      <alignment horizontal="right"/>
    </xf>
    <xf numFmtId="169" fontId="13" fillId="0" borderId="0" applyAlignment="1" pivotButton="0" quotePrefix="0" xfId="0">
      <alignment horizontal="right"/>
    </xf>
  </cellXfs>
  <cellStyles count="1">
    <cellStyle name="Normal" xfId="0" builtinId="0" hidden="0"/>
  </cellStyles>
  <dxfs count="2">
    <dxf>
      <fill>
        <patternFill patternType="solid">
          <bgColor rgb="00FFC7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Revenue and expenses, actual then Base case forecast</a:t>
            </a:r>
          </a:p>
        </rich>
      </tx>
    </title>
    <plotArea>
      <lineChart>
        <grouping val="standard"/>
        <ser>
          <idx val="0"/>
          <order val="0"/>
          <tx>
            <v>Total revenue</v>
          </tx>
          <spPr>
            <a:ln xmlns:a="http://schemas.openxmlformats.org/drawingml/2006/main">
              <a:prstDash val="solid"/>
            </a:ln>
          </spPr>
          <marker>
            <symbol val="none"/>
            <spPr>
              <a:ln xmlns:a="http://schemas.openxmlformats.org/drawingml/2006/main">
                <a:prstDash val="solid"/>
              </a:ln>
            </spPr>
          </marker>
          <cat>
            <numRef>
              <f>'Dashboard'!$C$8:$K$8</f>
            </numRef>
          </cat>
          <val>
            <numRef>
              <f>'Dashboard'!$C$9:$K$9</f>
            </numRef>
          </val>
        </ser>
        <ser>
          <idx val="1"/>
          <order val="1"/>
          <tx>
            <v>Total expenses</v>
          </tx>
          <spPr>
            <a:ln xmlns:a="http://schemas.openxmlformats.org/drawingml/2006/main">
              <a:prstDash val="solid"/>
            </a:ln>
          </spPr>
          <marker>
            <symbol val="none"/>
            <spPr>
              <a:ln xmlns:a="http://schemas.openxmlformats.org/drawingml/2006/main">
                <a:prstDash val="solid"/>
              </a:ln>
            </spPr>
          </marker>
          <cat>
            <numRef>
              <f>'Dashboard'!$C$8:$K$8</f>
            </numRef>
          </cat>
          <val>
            <numRef>
              <f>'Dashboard'!$C$10:$K$10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numFmt formatCode="#,##0,,&quot;M&quot;"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Operating surplus / (deficit)</a:t>
            </a:r>
          </a:p>
        </rich>
      </tx>
    </title>
    <plotArea>
      <barChart>
        <barDir val="col"/>
        <grouping val="clustered"/>
        <ser>
          <idx val="0"/>
          <order val="0"/>
          <tx>
            <v>Operating result</v>
          </tx>
          <spPr>
            <a:ln xmlns:a="http://schemas.openxmlformats.org/drawingml/2006/main">
              <a:prstDash val="solid"/>
            </a:ln>
          </spPr>
          <cat>
            <numRef>
              <f>'Dashboard'!$C$8:$K$8</f>
            </numRef>
          </cat>
          <val>
            <numRef>
              <f>'Dashboard'!$C$11:$K$11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M&quot;" sourceLinked="0"/>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Liquid reserve runway, months</a:t>
            </a:r>
          </a:p>
        </rich>
      </tx>
    </title>
    <plotArea>
      <lineChart>
        <grouping val="standard"/>
        <ser>
          <idx val="0"/>
          <order val="0"/>
          <tx>
            <v>Runway (months)</v>
          </tx>
          <spPr>
            <a:ln xmlns:a="http://schemas.openxmlformats.org/drawingml/2006/main">
              <a:prstDash val="solid"/>
            </a:ln>
          </spPr>
          <marker>
            <symbol val="none"/>
            <spPr>
              <a:ln xmlns:a="http://schemas.openxmlformats.org/drawingml/2006/main">
                <a:prstDash val="solid"/>
              </a:ln>
            </spPr>
          </marker>
          <cat>
            <numRef>
              <f>'Dashboard'!$C$8:$K$8</f>
            </numRef>
          </cat>
          <val>
            <numRef>
              <f>'Dashboard'!$C$16:$K$16</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Participants served and successful outcomes</a:t>
            </a:r>
          </a:p>
        </rich>
      </tx>
    </title>
    <plotArea>
      <lineChart>
        <grouping val="standard"/>
        <ser>
          <idx val="0"/>
          <order val="0"/>
          <tx>
            <v>Participants</v>
          </tx>
          <spPr>
            <a:ln xmlns:a="http://schemas.openxmlformats.org/drawingml/2006/main">
              <a:prstDash val="solid"/>
            </a:ln>
          </spPr>
          <marker>
            <symbol val="none"/>
            <spPr>
              <a:ln xmlns:a="http://schemas.openxmlformats.org/drawingml/2006/main">
                <a:prstDash val="solid"/>
              </a:ln>
            </spPr>
          </marker>
          <cat>
            <numRef>
              <f>'Dashboard'!$C$8:$K$8</f>
            </numRef>
          </cat>
          <val>
            <numRef>
              <f>'Dashboard'!$C$13:$K$13</f>
            </numRef>
          </val>
        </ser>
        <ser>
          <idx val="1"/>
          <order val="1"/>
          <tx>
            <v>Successful outcomes</v>
          </tx>
          <spPr>
            <a:ln xmlns:a="http://schemas.openxmlformats.org/drawingml/2006/main">
              <a:prstDash val="solid"/>
            </a:ln>
          </spPr>
          <marker>
            <symbol val="none"/>
            <spPr>
              <a:ln xmlns:a="http://schemas.openxmlformats.org/drawingml/2006/main">
                <a:prstDash val="solid"/>
              </a:ln>
            </spPr>
          </marker>
          <cat>
            <numRef>
              <f>'Dashboard'!$C$8:$K$8</f>
            </numRef>
          </cat>
          <val>
            <numRef>
              <f>'Dashboard'!$C$14:$K$14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1</col>
      <colOff>0</colOff>
      <row>18</row>
      <rowOff>0</rowOff>
    </from>
    <ext cx="6120000" cy="273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34</row>
      <rowOff>0</rowOff>
    </from>
    <ext cx="6120000" cy="273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50</row>
      <rowOff>0</rowOff>
    </from>
    <ext cx="6120000" cy="273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66</row>
      <rowOff>0</rowOff>
    </from>
    <ext cx="6120000" cy="273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2324F"/>
    <outlinePr summaryBelow="1" summaryRight="1"/>
    <pageSetUpPr/>
  </sheetPr>
  <dimension ref="A1:K17"/>
  <sheetViews>
    <sheetView showGridLines="0" workbookViewId="0">
      <selection activeCell="A1" sqref="A1"/>
    </sheetView>
  </sheetViews>
  <sheetFormatPr baseColWidth="8" defaultRowHeight="15"/>
  <cols>
    <col width="2" customWidth="1" min="1" max="1"/>
    <col width="38" customWidth="1" min="2" max="2"/>
    <col width="16" customWidth="1" min="3" max="3"/>
    <col width="16" customWidth="1" min="4" max="4"/>
    <col width="16" customWidth="1" min="5" max="5"/>
    <col width="16" customWidth="1" min="6" max="6"/>
    <col width="16" customWidth="1" min="7" max="7"/>
    <col width="16" customWidth="1" min="8" max="8"/>
    <col width="2" customWidth="1" min="9" max="9"/>
    <col width="20" customWidth="1" min="10" max="10"/>
  </cols>
  <sheetData>
    <row r="1" ht="24" customHeight="1">
      <c r="A1" s="1" t="inlineStr">
        <is>
          <t>Financial dashboard</t>
        </is>
      </c>
    </row>
    <row r="2">
      <c r="A2" s="2" t="inlineStr">
        <is>
          <t>Upwardly Global  |  FY2019 - FY2024 actual, FY2025 - FY2027 Base case forecast</t>
        </is>
      </c>
    </row>
    <row r="3">
      <c r="A3" s="3" t="n"/>
      <c r="B3" s="3" t="n"/>
      <c r="C3" s="3" t="n"/>
      <c r="D3" s="3" t="n"/>
      <c r="E3" s="3" t="n"/>
      <c r="F3" s="3" t="n"/>
      <c r="G3" s="3" t="n"/>
      <c r="H3" s="3" t="n"/>
    </row>
    <row r="4" ht="28" customHeight="1">
      <c r="B4" s="4" t="inlineStr">
        <is>
          <t>FY2024 total revenue</t>
        </is>
      </c>
      <c r="C4" s="4" t="inlineStr">
        <is>
          <t>FY2024 operating result</t>
        </is>
      </c>
      <c r="D4" s="4" t="inlineStr">
        <is>
          <t>Program expense ratio</t>
        </is>
      </c>
      <c r="E4" s="4" t="inlineStr">
        <is>
          <t>Cost to raise $1</t>
        </is>
      </c>
      <c r="F4" s="4" t="inlineStr">
        <is>
          <t>Liquid reserve runway</t>
        </is>
      </c>
      <c r="G4" s="4" t="inlineStr">
        <is>
          <t>Net assets / expenses</t>
        </is>
      </c>
    </row>
    <row r="5" ht="30" customHeight="1">
      <c r="B5" s="5">
        <f>'Historical analysis'!G10</f>
        <v/>
      </c>
      <c r="C5" s="5">
        <f>'Historical analysis'!G19</f>
        <v/>
      </c>
      <c r="D5" s="6">
        <f>'Historical analysis'!G44</f>
        <v/>
      </c>
      <c r="E5" s="7">
        <f>'Historical analysis'!G47</f>
        <v/>
      </c>
      <c r="F5" s="8">
        <f>'Historical analysis'!G53</f>
        <v/>
      </c>
      <c r="G5" s="9">
        <f>'Historical analysis'!G55</f>
        <v/>
      </c>
    </row>
    <row r="7" ht="18" customHeight="1">
      <c r="A7" s="10" t="inlineStr">
        <is>
          <t>Revenue, expenses and result</t>
        </is>
      </c>
      <c r="B7" s="11" t="n"/>
      <c r="C7" s="11" t="n"/>
      <c r="D7" s="11" t="n"/>
      <c r="E7" s="11" t="n"/>
      <c r="F7" s="11" t="n"/>
      <c r="G7" s="11" t="n"/>
      <c r="H7" s="11" t="n"/>
    </row>
    <row r="8">
      <c r="B8" s="12" t="inlineStr"/>
      <c r="C8" s="13" t="inlineStr">
        <is>
          <t>FY2019</t>
        </is>
      </c>
      <c r="D8" s="13" t="inlineStr">
        <is>
          <t>FY2020</t>
        </is>
      </c>
      <c r="E8" s="13" t="inlineStr">
        <is>
          <t>FY2021</t>
        </is>
      </c>
      <c r="F8" s="13" t="inlineStr">
        <is>
          <t>FY2022</t>
        </is>
      </c>
      <c r="G8" s="13" t="inlineStr">
        <is>
          <t>FY2023</t>
        </is>
      </c>
      <c r="H8" s="13" t="inlineStr">
        <is>
          <t>FY2024</t>
        </is>
      </c>
      <c r="I8" s="13" t="inlineStr">
        <is>
          <t>FY2025</t>
        </is>
      </c>
      <c r="J8" s="13" t="inlineStr">
        <is>
          <t>FY2026</t>
        </is>
      </c>
      <c r="K8" s="13" t="inlineStr">
        <is>
          <t>FY2027</t>
        </is>
      </c>
    </row>
    <row r="9">
      <c r="B9" s="14" t="inlineStr">
        <is>
          <t>Total revenue</t>
        </is>
      </c>
      <c r="C9" s="15">
        <f>'Historical analysis'!B10</f>
        <v/>
      </c>
      <c r="D9" s="15">
        <f>'Historical analysis'!C10</f>
        <v/>
      </c>
      <c r="E9" s="15">
        <f>'Historical analysis'!D10</f>
        <v/>
      </c>
      <c r="F9" s="15">
        <f>'Historical analysis'!E10</f>
        <v/>
      </c>
      <c r="G9" s="15">
        <f>'Historical analysis'!F10</f>
        <v/>
      </c>
      <c r="H9" s="15">
        <f>'Historical analysis'!G10</f>
        <v/>
      </c>
      <c r="I9" s="16">
        <f>'Forecast'!C26</f>
        <v/>
      </c>
      <c r="J9" s="16">
        <f>'Forecast'!D26</f>
        <v/>
      </c>
      <c r="K9" s="16">
        <f>'Forecast'!E26</f>
        <v/>
      </c>
    </row>
    <row r="10">
      <c r="B10" s="14" t="inlineStr">
        <is>
          <t>Total expenses</t>
        </is>
      </c>
      <c r="C10" s="15">
        <f>'Historical analysis'!B16</f>
        <v/>
      </c>
      <c r="D10" s="15">
        <f>'Historical analysis'!C16</f>
        <v/>
      </c>
      <c r="E10" s="15">
        <f>'Historical analysis'!D16</f>
        <v/>
      </c>
      <c r="F10" s="15">
        <f>'Historical analysis'!E16</f>
        <v/>
      </c>
      <c r="G10" s="15">
        <f>'Historical analysis'!F16</f>
        <v/>
      </c>
      <c r="H10" s="15">
        <f>'Historical analysis'!G16</f>
        <v/>
      </c>
      <c r="I10" s="16">
        <f>'Forecast'!C48</f>
        <v/>
      </c>
      <c r="J10" s="16">
        <f>'Forecast'!D48</f>
        <v/>
      </c>
      <c r="K10" s="16">
        <f>'Forecast'!E48</f>
        <v/>
      </c>
    </row>
    <row r="11">
      <c r="B11" s="14" t="inlineStr">
        <is>
          <t>Operating result</t>
        </is>
      </c>
      <c r="C11" s="15">
        <f>'Historical analysis'!B19</f>
        <v/>
      </c>
      <c r="D11" s="15">
        <f>'Historical analysis'!C19</f>
        <v/>
      </c>
      <c r="E11" s="15">
        <f>'Historical analysis'!D19</f>
        <v/>
      </c>
      <c r="F11" s="15">
        <f>'Historical analysis'!E19</f>
        <v/>
      </c>
      <c r="G11" s="15">
        <f>'Historical analysis'!F19</f>
        <v/>
      </c>
      <c r="H11" s="15">
        <f>'Historical analysis'!G19</f>
        <v/>
      </c>
      <c r="I11" s="16">
        <f>'Forecast'!C58</f>
        <v/>
      </c>
      <c r="J11" s="16">
        <f>'Forecast'!D58</f>
        <v/>
      </c>
      <c r="K11" s="16">
        <f>'Forecast'!E58</f>
        <v/>
      </c>
    </row>
    <row r="12">
      <c r="B12" s="14" t="inlineStr">
        <is>
          <t>Liquid reserves</t>
        </is>
      </c>
      <c r="C12" s="15">
        <f>'Historical analysis'!B35</f>
        <v/>
      </c>
      <c r="D12" s="15">
        <f>'Historical analysis'!C35</f>
        <v/>
      </c>
      <c r="E12" s="15">
        <f>'Historical analysis'!D35</f>
        <v/>
      </c>
      <c r="F12" s="15">
        <f>'Historical analysis'!E35</f>
        <v/>
      </c>
      <c r="G12" s="15">
        <f>'Historical analysis'!F35</f>
        <v/>
      </c>
      <c r="H12" s="15">
        <f>'Historical analysis'!G35</f>
        <v/>
      </c>
      <c r="I12" s="16">
        <f>'Forecast'!C61</f>
        <v/>
      </c>
      <c r="J12" s="16">
        <f>'Forecast'!D61</f>
        <v/>
      </c>
      <c r="K12" s="16">
        <f>'Forecast'!E61</f>
        <v/>
      </c>
    </row>
    <row r="13">
      <c r="B13" s="14" t="inlineStr">
        <is>
          <t>Participants</t>
        </is>
      </c>
      <c r="C13" s="17">
        <f>'Historical analysis'!B59</f>
        <v/>
      </c>
      <c r="D13" s="17">
        <f>'Historical analysis'!C59</f>
        <v/>
      </c>
      <c r="E13" s="17">
        <f>'Historical analysis'!D59</f>
        <v/>
      </c>
      <c r="F13" s="17">
        <f>'Historical analysis'!E59</f>
        <v/>
      </c>
      <c r="G13" s="17">
        <f>'Historical analysis'!F59</f>
        <v/>
      </c>
      <c r="H13" s="17">
        <f>'Historical analysis'!G59</f>
        <v/>
      </c>
      <c r="I13" s="18">
        <f>'Forecast'!C68</f>
        <v/>
      </c>
      <c r="J13" s="18">
        <f>'Forecast'!D68</f>
        <v/>
      </c>
      <c r="K13" s="18">
        <f>'Forecast'!E68</f>
        <v/>
      </c>
    </row>
    <row r="14">
      <c r="B14" s="14" t="inlineStr">
        <is>
          <t>Successful outcomes</t>
        </is>
      </c>
      <c r="C14" s="17">
        <f>'Historical analysis'!B60</f>
        <v/>
      </c>
      <c r="D14" s="17">
        <f>'Historical analysis'!C60</f>
        <v/>
      </c>
      <c r="E14" s="17">
        <f>'Historical analysis'!D60</f>
        <v/>
      </c>
      <c r="F14" s="17">
        <f>'Historical analysis'!E60</f>
        <v/>
      </c>
      <c r="G14" s="17">
        <f>'Historical analysis'!F60</f>
        <v/>
      </c>
      <c r="H14" s="17">
        <f>'Historical analysis'!G60</f>
        <v/>
      </c>
      <c r="I14" s="18">
        <f>'Forecast'!C69</f>
        <v/>
      </c>
      <c r="J14" s="18">
        <f>'Forecast'!D69</f>
        <v/>
      </c>
      <c r="K14" s="18">
        <f>'Forecast'!E69</f>
        <v/>
      </c>
    </row>
    <row r="15">
      <c r="B15" s="14" t="inlineStr">
        <is>
          <t>Program expense ratio</t>
        </is>
      </c>
      <c r="C15" s="19">
        <f>'Historical analysis'!B44</f>
        <v/>
      </c>
      <c r="D15" s="19">
        <f>'Historical analysis'!C44</f>
        <v/>
      </c>
      <c r="E15" s="19">
        <f>'Historical analysis'!D44</f>
        <v/>
      </c>
      <c r="F15" s="19">
        <f>'Historical analysis'!E44</f>
        <v/>
      </c>
      <c r="G15" s="19">
        <f>'Historical analysis'!F44</f>
        <v/>
      </c>
      <c r="H15" s="19">
        <f>'Historical analysis'!G44</f>
        <v/>
      </c>
      <c r="I15" s="20">
        <f>'Forecast'!C70</f>
        <v/>
      </c>
      <c r="J15" s="20">
        <f>'Forecast'!D70</f>
        <v/>
      </c>
      <c r="K15" s="20">
        <f>'Forecast'!E70</f>
        <v/>
      </c>
    </row>
    <row r="16">
      <c r="B16" s="14" t="inlineStr">
        <is>
          <t>Liquid reserve runway</t>
        </is>
      </c>
      <c r="C16" s="21">
        <f>'Historical analysis'!B53</f>
        <v/>
      </c>
      <c r="D16" s="21">
        <f>'Historical analysis'!C53</f>
        <v/>
      </c>
      <c r="E16" s="21">
        <f>'Historical analysis'!D53</f>
        <v/>
      </c>
      <c r="F16" s="21">
        <f>'Historical analysis'!E53</f>
        <v/>
      </c>
      <c r="G16" s="21">
        <f>'Historical analysis'!F53</f>
        <v/>
      </c>
      <c r="H16" s="21">
        <f>'Historical analysis'!G53</f>
        <v/>
      </c>
      <c r="I16" s="22">
        <f>'Forecast'!C64</f>
        <v/>
      </c>
      <c r="J16" s="22">
        <f>'Forecast'!D64</f>
        <v/>
      </c>
      <c r="K16" s="22">
        <f>'Forecast'!E64</f>
        <v/>
      </c>
    </row>
    <row r="17">
      <c r="B17" s="14" t="inlineStr">
        <is>
          <t>Cost per outcome</t>
        </is>
      </c>
      <c r="C17" s="15">
        <f>'Historical analysis'!B63</f>
        <v/>
      </c>
      <c r="D17" s="15">
        <f>'Historical analysis'!C63</f>
        <v/>
      </c>
      <c r="E17" s="15">
        <f>'Historical analysis'!D63</f>
        <v/>
      </c>
      <c r="F17" s="15">
        <f>'Historical analysis'!E63</f>
        <v/>
      </c>
      <c r="G17" s="15">
        <f>'Historical analysis'!F63</f>
        <v/>
      </c>
      <c r="H17" s="15">
        <f>'Historical analysis'!G63</f>
        <v/>
      </c>
      <c r="I17" s="16">
        <f>'Forecast'!C72</f>
        <v/>
      </c>
      <c r="J17" s="16">
        <f>'Forecast'!D72</f>
        <v/>
      </c>
      <c r="K17" s="16">
        <f>'Forecast'!E72</f>
        <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12324F"/>
    <outlinePr summaryBelow="1" summaryRight="1"/>
    <pageSetUpPr/>
  </sheetPr>
  <dimension ref="A1:I39"/>
  <sheetViews>
    <sheetView showGridLines="0"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 width="11" customWidth="1" min="8" max="8"/>
    <col width="62" customWidth="1" min="9" max="9"/>
  </cols>
  <sheetData>
    <row r="1" ht="24" customHeight="1">
      <c r="A1" s="1" t="inlineStr">
        <is>
          <t>Form 990 data</t>
        </is>
      </c>
    </row>
    <row r="2">
      <c r="A2" s="2" t="inlineStr">
        <is>
          <t>Upwardly Global, EIN 94-3346127. Figures as filed. Blue cells are inputs; nothing on this sheet is calculated except the two identity checks.</t>
        </is>
      </c>
    </row>
    <row r="3">
      <c r="A3" s="3" t="n"/>
      <c r="B3" s="3" t="n"/>
      <c r="C3" s="3" t="n"/>
      <c r="D3" s="3" t="n"/>
      <c r="E3" s="3" t="n"/>
      <c r="F3" s="3" t="n"/>
      <c r="G3" s="3" t="n"/>
      <c r="H3" s="3" t="n"/>
      <c r="I3" s="3" t="n"/>
    </row>
    <row r="4" ht="30" customHeight="1">
      <c r="A4" s="23" t="inlineStr">
        <is>
          <t>Line</t>
        </is>
      </c>
      <c r="B4" s="24" t="inlineStr">
        <is>
          <t>FY2019</t>
        </is>
      </c>
      <c r="C4" s="24" t="inlineStr">
        <is>
          <t>FY2020</t>
        </is>
      </c>
      <c r="D4" s="24" t="inlineStr">
        <is>
          <t>FY2021</t>
        </is>
      </c>
      <c r="E4" s="24" t="inlineStr">
        <is>
          <t>FY2022</t>
        </is>
      </c>
      <c r="F4" s="24" t="inlineStr">
        <is>
          <t>FY2023</t>
        </is>
      </c>
      <c r="G4" s="24" t="inlineStr">
        <is>
          <t>FY2024</t>
        </is>
      </c>
      <c r="H4" s="24" t="inlineStr">
        <is>
          <t>Tier</t>
        </is>
      </c>
      <c r="I4" s="24" t="inlineStr">
        <is>
          <t>Note</t>
        </is>
      </c>
    </row>
    <row r="5" ht="18" customHeight="1">
      <c r="A5" s="10" t="inlineStr">
        <is>
          <t>Revenue</t>
        </is>
      </c>
      <c r="B5" s="11" t="n"/>
      <c r="C5" s="11" t="n"/>
      <c r="D5" s="11" t="n"/>
      <c r="E5" s="11" t="n"/>
      <c r="F5" s="11" t="n"/>
      <c r="G5" s="11" t="n"/>
      <c r="H5" s="11" t="n"/>
      <c r="I5" s="11" t="n"/>
    </row>
    <row r="6" ht="24" customHeight="1">
      <c r="A6" s="25" t="inlineStr">
        <is>
          <t>Contributions and grants</t>
        </is>
      </c>
      <c r="B6" s="26" t="n">
        <v>6528091</v>
      </c>
      <c r="C6" s="26" t="n">
        <v>6738370</v>
      </c>
      <c r="D6" s="26" t="n">
        <v>11624463</v>
      </c>
      <c r="E6" s="26" t="n">
        <v>18348946</v>
      </c>
      <c r="F6" s="26" t="n">
        <v>20709887</v>
      </c>
      <c r="G6" s="26" t="n">
        <v>26008174</v>
      </c>
      <c r="H6" s="27" t="inlineStr">
        <is>
          <t>PUBLIC</t>
        </is>
      </c>
      <c r="I6" s="28" t="inlineStr">
        <is>
          <t>Form 990 Part VIII line 1h. FY2024 derived from the published 91% revenue mix.</t>
        </is>
      </c>
    </row>
    <row r="7" ht="24" customHeight="1">
      <c r="A7" s="25" t="inlineStr">
        <is>
          <t>Program service revenue</t>
        </is>
      </c>
      <c r="B7" s="26" t="n">
        <v>353671</v>
      </c>
      <c r="C7" s="26" t="n">
        <v>304509</v>
      </c>
      <c r="D7" s="26" t="n">
        <v>383141</v>
      </c>
      <c r="E7" s="26" t="n">
        <v>1064285</v>
      </c>
      <c r="F7" s="26" t="n">
        <v>1066130</v>
      </c>
      <c r="G7" s="26" t="n">
        <v>1143216</v>
      </c>
      <c r="H7" s="27" t="inlineStr">
        <is>
          <t>PUBLIC</t>
        </is>
      </c>
      <c r="I7" s="28" t="inlineStr">
        <is>
          <t>Form 990 Part VIII line 2g. FY2024 derived from the published 4% share.</t>
        </is>
      </c>
    </row>
    <row r="8" ht="24" customHeight="1">
      <c r="A8" s="25" t="inlineStr">
        <is>
          <t>Investment and other income</t>
        </is>
      </c>
      <c r="B8" s="26" t="n">
        <v>3602</v>
      </c>
      <c r="C8" s="26" t="n">
        <v>21624</v>
      </c>
      <c r="D8" s="26" t="n">
        <v>237</v>
      </c>
      <c r="E8" s="26" t="n">
        <v>14416</v>
      </c>
      <c r="F8" s="26" t="n">
        <v>672813</v>
      </c>
      <c r="G8" s="26" t="n">
        <v>1429021</v>
      </c>
      <c r="H8" s="27" t="inlineStr">
        <is>
          <t>PUBLIC</t>
        </is>
      </c>
      <c r="I8" s="28" t="inlineStr">
        <is>
          <t>Form 990 Part VIII line 3 and other. FY2024 is the residual of the derived mix.</t>
        </is>
      </c>
    </row>
    <row r="9" ht="24" customHeight="1">
      <c r="A9" s="25" t="inlineStr">
        <is>
          <t>Less: fundraising event costs and net asset-sale losses</t>
        </is>
      </c>
      <c r="B9" s="26" t="n">
        <v>-135303</v>
      </c>
      <c r="C9" s="26" t="n">
        <v>-48199</v>
      </c>
      <c r="D9" s="26" t="n">
        <v>-34318</v>
      </c>
      <c r="E9" s="26" t="n">
        <v>-121695</v>
      </c>
      <c r="F9" s="26" t="n">
        <v>-57789</v>
      </c>
      <c r="G9" s="26" t="n">
        <v>0</v>
      </c>
      <c r="H9" s="29" t="inlineStr">
        <is>
          <t>DERIVED</t>
        </is>
      </c>
      <c r="I9" s="28" t="inlineStr">
        <is>
          <t>Total revenue less the sum of contributions, program service revenue and investment income. It captures the direct expenses of fundraising events and net losses on asset sales, both of which</t>
        </is>
      </c>
    </row>
    <row r="10" ht="24" customHeight="1">
      <c r="A10" s="12" t="inlineStr">
        <is>
          <t>Total revenue</t>
        </is>
      </c>
      <c r="B10" s="26" t="n">
        <v>6750061</v>
      </c>
      <c r="C10" s="26" t="n">
        <v>7016304</v>
      </c>
      <c r="D10" s="26" t="n">
        <v>11973523</v>
      </c>
      <c r="E10" s="26" t="n">
        <v>19305952</v>
      </c>
      <c r="F10" s="26" t="n">
        <v>22391041</v>
      </c>
      <c r="G10" s="26" t="n">
        <v>28580411</v>
      </c>
      <c r="H10" s="27" t="inlineStr">
        <is>
          <t>PUBLIC</t>
        </is>
      </c>
      <c r="I10" s="28" t="inlineStr">
        <is>
          <t>Form 990 Part I line 12, stated net.</t>
        </is>
      </c>
    </row>
    <row r="11">
      <c r="A11" s="30" t="inlineStr">
        <is>
          <t>Check: components equal total</t>
        </is>
      </c>
      <c r="B11" s="31">
        <f>IF(ABS(B6+B7+B8+B9-B10)&lt;1,"ok","CHECK")</f>
        <v/>
      </c>
      <c r="C11" s="31">
        <f>IF(ABS(C6+C7+C8+C9-C10)&lt;1,"ok","CHECK")</f>
        <v/>
      </c>
      <c r="D11" s="31">
        <f>IF(ABS(D6+D7+D8+D9-D10)&lt;1,"ok","CHECK")</f>
        <v/>
      </c>
      <c r="E11" s="31">
        <f>IF(ABS(E6+E7+E8+E9-E10)&lt;1,"ok","CHECK")</f>
        <v/>
      </c>
      <c r="F11" s="31">
        <f>IF(ABS(F6+F7+F8+F9-F10)&lt;1,"ok","CHECK")</f>
        <v/>
      </c>
      <c r="G11" s="31">
        <f>IF(ABS(G6+G7+G8+G9-G10)&lt;1,"ok","CHECK")</f>
        <v/>
      </c>
    </row>
    <row r="12" ht="52" customHeight="1">
      <c r="A12" s="32" t="inlineStr">
        <is>
          <t>Form 990 reports gross contributions, gross program service revenue and gross investment income, but states total revenue net of the direct expenses of fundraising events and of losses on asset sales. The three gross lines therefore sum to more than reported total revenue in FY2019 through FY2023. Carrying that difference on its own line is what makes the analysis tie to the filing instead of quietly overstating revenue by between $34,000 and $135,000 a year.</t>
        </is>
      </c>
    </row>
    <row r="13" ht="18" customHeight="1">
      <c r="A13" s="10" t="inlineStr">
        <is>
          <t>Expenses and personnel</t>
        </is>
      </c>
      <c r="B13" s="11" t="n"/>
      <c r="C13" s="11" t="n"/>
      <c r="D13" s="11" t="n"/>
      <c r="E13" s="11" t="n"/>
      <c r="F13" s="11" t="n"/>
      <c r="G13" s="11" t="n"/>
      <c r="H13" s="11" t="n"/>
      <c r="I13" s="11" t="n"/>
    </row>
    <row r="14" ht="24" customHeight="1">
      <c r="A14" s="25" t="inlineStr">
        <is>
          <t>Officer compensation</t>
        </is>
      </c>
      <c r="B14" s="26" t="n">
        <v>336307</v>
      </c>
      <c r="C14" s="26" t="n">
        <v>348404</v>
      </c>
      <c r="D14" s="26" t="n">
        <v>537859</v>
      </c>
      <c r="E14" s="26" t="n">
        <v>642262</v>
      </c>
      <c r="F14" s="26" t="n">
        <v>502983</v>
      </c>
      <c r="G14" s="26" t="n">
        <v>1026038</v>
      </c>
      <c r="H14" s="27" t="inlineStr">
        <is>
          <t>PUBLIC</t>
        </is>
      </c>
      <c r="I14" s="28" t="inlineStr">
        <is>
          <t>Form 990 Part IX line 5.</t>
        </is>
      </c>
    </row>
    <row r="15" ht="24" customHeight="1">
      <c r="A15" s="25" t="inlineStr">
        <is>
          <t>Other salaries and wages</t>
        </is>
      </c>
      <c r="B15" s="26" t="n">
        <v>3257098</v>
      </c>
      <c r="C15" s="26" t="n">
        <v>3406913</v>
      </c>
      <c r="D15" s="26" t="n">
        <v>3755210</v>
      </c>
      <c r="E15" s="26" t="n">
        <v>5321071</v>
      </c>
      <c r="F15" s="26" t="n">
        <v>7253251</v>
      </c>
      <c r="G15" s="26" t="n">
        <v>9234306</v>
      </c>
      <c r="H15" s="27" t="inlineStr">
        <is>
          <t>PUBLIC</t>
        </is>
      </c>
      <c r="I15" s="28" t="inlineStr">
        <is>
          <t>Form 990 Part IX line 7.</t>
        </is>
      </c>
    </row>
    <row r="16" ht="24" customHeight="1">
      <c r="A16" s="25" t="inlineStr">
        <is>
          <t>Payroll taxes</t>
        </is>
      </c>
      <c r="B16" s="26" t="n">
        <v>283482</v>
      </c>
      <c r="C16" s="26" t="n">
        <v>290730</v>
      </c>
      <c r="D16" s="26" t="n">
        <v>339149</v>
      </c>
      <c r="E16" s="26" t="n">
        <v>454590</v>
      </c>
      <c r="F16" s="26" t="n">
        <v>606465</v>
      </c>
      <c r="G16" s="26" t="n">
        <v>800307</v>
      </c>
      <c r="H16" s="27" t="inlineStr">
        <is>
          <t>PUBLIC</t>
        </is>
      </c>
      <c r="I16" s="28" t="inlineStr">
        <is>
          <t>Form 990 Part IX line 10. FY2024 derived at the FY2023 effective rate of 7.82%.</t>
        </is>
      </c>
    </row>
    <row r="17" ht="24" customHeight="1">
      <c r="A17" s="12" t="inlineStr">
        <is>
          <t>Total functional expenses</t>
        </is>
      </c>
      <c r="B17" s="26" t="n">
        <v>5531091</v>
      </c>
      <c r="C17" s="26" t="n">
        <v>5670504</v>
      </c>
      <c r="D17" s="26" t="n">
        <v>6893690</v>
      </c>
      <c r="E17" s="26" t="n">
        <v>9316393</v>
      </c>
      <c r="F17" s="26" t="n">
        <v>13659379</v>
      </c>
      <c r="G17" s="26" t="n">
        <v>18275646</v>
      </c>
      <c r="H17" s="27" t="inlineStr">
        <is>
          <t>PUBLIC</t>
        </is>
      </c>
      <c r="I17" s="28" t="inlineStr">
        <is>
          <t>Form 990 Part I line 18.</t>
        </is>
      </c>
    </row>
    <row r="19" ht="18" customHeight="1">
      <c r="A19" s="10" t="inlineStr">
        <is>
          <t>Balance sheet</t>
        </is>
      </c>
      <c r="B19" s="11" t="n"/>
      <c r="C19" s="11" t="n"/>
      <c r="D19" s="11" t="n"/>
      <c r="E19" s="11" t="n"/>
      <c r="F19" s="11" t="n"/>
      <c r="G19" s="11" t="n"/>
      <c r="H19" s="11" t="n"/>
      <c r="I19" s="11" t="n"/>
    </row>
    <row r="20" ht="24" customHeight="1">
      <c r="A20" s="25" t="inlineStr">
        <is>
          <t>Total assets</t>
        </is>
      </c>
      <c r="B20" s="26" t="n">
        <v>4915534</v>
      </c>
      <c r="C20" s="26" t="n">
        <v>7157462</v>
      </c>
      <c r="D20" s="26" t="n">
        <v>12593796</v>
      </c>
      <c r="E20" s="26" t="n">
        <v>23406064</v>
      </c>
      <c r="F20" s="26" t="n">
        <v>31782416</v>
      </c>
      <c r="G20" s="26" t="n">
        <v>42583791</v>
      </c>
      <c r="H20" s="27" t="inlineStr">
        <is>
          <t>PUBLIC</t>
        </is>
      </c>
      <c r="I20" s="28" t="inlineStr">
        <is>
          <t>Form 990 Part I line 20, end of year.</t>
        </is>
      </c>
    </row>
    <row r="21" ht="24" customHeight="1">
      <c r="A21" s="25" t="inlineStr">
        <is>
          <t>Total liabilities</t>
        </is>
      </c>
      <c r="B21" s="26" t="n">
        <v>461151</v>
      </c>
      <c r="C21" s="26" t="n">
        <v>1357279</v>
      </c>
      <c r="D21" s="26" t="n">
        <v>1713780</v>
      </c>
      <c r="E21" s="26" t="n">
        <v>2536489</v>
      </c>
      <c r="F21" s="26" t="n">
        <v>2181179</v>
      </c>
      <c r="G21" s="26" t="n">
        <v>2676737</v>
      </c>
      <c r="H21" s="27" t="inlineStr">
        <is>
          <t>PUBLIC</t>
        </is>
      </c>
      <c r="I21" s="28" t="inlineStr">
        <is>
          <t>Form 990 Part I line 21. FY2024 derived as assets less published net assets.</t>
        </is>
      </c>
    </row>
    <row r="22">
      <c r="A22" s="12" t="inlineStr">
        <is>
          <t>Net assets</t>
        </is>
      </c>
      <c r="B22" s="33">
        <f>B20-B21</f>
        <v/>
      </c>
      <c r="C22" s="33">
        <f>C20-C21</f>
        <v/>
      </c>
      <c r="D22" s="33">
        <f>D20-D21</f>
        <v/>
      </c>
      <c r="E22" s="33">
        <f>E20-E21</f>
        <v/>
      </c>
      <c r="F22" s="33">
        <f>F20-F21</f>
        <v/>
      </c>
      <c r="G22" s="33">
        <f>G20-G21</f>
        <v/>
      </c>
      <c r="H22" s="29" t="inlineStr">
        <is>
          <t>DERIVED</t>
        </is>
      </c>
      <c r="I22" s="34" t="inlineStr">
        <is>
          <t>Assets less liabilities. FY2024 ties to the published net asset figure of $39,907,054.</t>
        </is>
      </c>
    </row>
    <row r="23">
      <c r="A23" s="30" t="inlineStr">
        <is>
          <t>Check: FY2024 ties to filed net assets</t>
        </is>
      </c>
      <c r="G23" s="31">
        <f>IF(ABS(G22-39907054)&lt;1,"ok","CHECK")</f>
        <v/>
      </c>
    </row>
    <row r="25" ht="18" customHeight="1">
      <c r="A25" s="10" t="inlineStr">
        <is>
          <t>Published impact metrics</t>
        </is>
      </c>
      <c r="B25" s="11" t="n"/>
      <c r="C25" s="11" t="n"/>
      <c r="D25" s="11" t="n"/>
      <c r="E25" s="11" t="n"/>
      <c r="F25" s="11" t="n"/>
      <c r="G25" s="11" t="n"/>
      <c r="H25" s="11" t="n"/>
      <c r="I25" s="11" t="n"/>
    </row>
    <row r="26">
      <c r="A26" s="25" t="inlineStr">
        <is>
          <t>Participants served</t>
        </is>
      </c>
      <c r="B26" s="35">
        <f>$B$30*(1+$B$32)^(2019-2022)</f>
        <v/>
      </c>
      <c r="C26" s="35">
        <f>$B$30*(1+$B$32)^(2020-2022)</f>
        <v/>
      </c>
      <c r="D26" s="35">
        <f>$B$30*(1+$B$32)^(2021-2022)</f>
        <v/>
      </c>
      <c r="E26" s="26" t="n">
        <v>7041</v>
      </c>
      <c r="F26" s="35">
        <f>$B$30*(1+$B$32)^(2023-2022)</f>
        <v/>
      </c>
      <c r="G26" s="35">
        <f>$B$30*(1+$B$32)^(2024-2022)</f>
        <v/>
      </c>
      <c r="H26" s="29" t="inlineStr">
        <is>
          <t>DERIVED</t>
        </is>
      </c>
      <c r="I26" s="34" t="inlineStr">
        <is>
          <t>Published for 2022 and 2025 only; other years interpolated at constant growth between those two observations.</t>
        </is>
      </c>
    </row>
    <row r="27">
      <c r="A27" s="25" t="inlineStr">
        <is>
          <t>Successful outcomes (placements)</t>
        </is>
      </c>
      <c r="B27" s="35">
        <f>$B$33*(1+$B$35)^(2019-2022)</f>
        <v/>
      </c>
      <c r="C27" s="35">
        <f>$B$33*(1+$B$35)^(2020-2022)</f>
        <v/>
      </c>
      <c r="D27" s="35">
        <f>$B$33*(1+$B$35)^(2021-2022)</f>
        <v/>
      </c>
      <c r="E27" s="26" t="n">
        <v>1116</v>
      </c>
      <c r="F27" s="35">
        <f>$B$33*(1+$B$35)^(2023-2022)</f>
        <v/>
      </c>
      <c r="G27" s="35">
        <f>$B$33*(1+$B$35)^(2024-2022)</f>
        <v/>
      </c>
      <c r="H27" s="29" t="inlineStr">
        <is>
          <t>DERIVED</t>
        </is>
      </c>
    </row>
    <row r="29" ht="18" customHeight="1">
      <c r="A29" s="10" t="inlineStr">
        <is>
          <t>Interpolation anchors</t>
        </is>
      </c>
      <c r="B29" s="11" t="n"/>
      <c r="C29" s="11" t="n"/>
      <c r="D29" s="11" t="n"/>
      <c r="E29" s="11" t="n"/>
      <c r="F29" s="11" t="n"/>
      <c r="G29" s="11" t="n"/>
      <c r="H29" s="11" t="n"/>
      <c r="I29" s="11" t="n"/>
    </row>
    <row r="30">
      <c r="A30" s="36" t="inlineStr">
        <is>
          <t>2022 participants (published)</t>
        </is>
      </c>
      <c r="B30" s="26" t="n">
        <v>7041</v>
      </c>
      <c r="H30" s="27" t="inlineStr">
        <is>
          <t>PUBLIC</t>
        </is>
      </c>
    </row>
    <row r="31">
      <c r="A31" s="36" t="inlineStr">
        <is>
          <t>2025 participants (published)</t>
        </is>
      </c>
      <c r="B31" s="26" t="n">
        <v>13350</v>
      </c>
      <c r="H31" s="27" t="inlineStr">
        <is>
          <t>PUBLIC</t>
        </is>
      </c>
    </row>
    <row r="32">
      <c r="A32" s="36" t="inlineStr">
        <is>
          <t>Participant growth per year</t>
        </is>
      </c>
      <c r="B32" s="37">
        <f>(B31/B30)^(1/3)-1</f>
        <v/>
      </c>
      <c r="H32" s="29" t="inlineStr">
        <is>
          <t>DERIVED</t>
        </is>
      </c>
    </row>
    <row r="33">
      <c r="A33" s="36" t="inlineStr">
        <is>
          <t>2022 placements (published)</t>
        </is>
      </c>
      <c r="B33" s="26" t="n">
        <v>1116</v>
      </c>
      <c r="H33" s="27" t="inlineStr">
        <is>
          <t>PUBLIC</t>
        </is>
      </c>
    </row>
    <row r="34">
      <c r="A34" s="36" t="inlineStr">
        <is>
          <t>2025 placements (published)</t>
        </is>
      </c>
      <c r="B34" s="26" t="n">
        <v>1730</v>
      </c>
      <c r="H34" s="27" t="inlineStr">
        <is>
          <t>PUBLIC</t>
        </is>
      </c>
    </row>
    <row r="35">
      <c r="A35" s="36" t="inlineStr">
        <is>
          <t>Placement growth per year</t>
        </is>
      </c>
      <c r="B35" s="37">
        <f>(B34/B33)^(1/3)-1</f>
        <v/>
      </c>
      <c r="H35" s="29" t="inlineStr">
        <is>
          <t>DERIVED</t>
        </is>
      </c>
    </row>
    <row r="36">
      <c r="A36" s="36" t="inlineStr">
        <is>
          <t>2025 average starting salary</t>
        </is>
      </c>
      <c r="B36" s="26" t="n">
        <v>67580</v>
      </c>
      <c r="H36" s="27" t="inlineStr">
        <is>
          <t>PUBLIC</t>
        </is>
      </c>
    </row>
    <row r="37">
      <c r="A37" s="36" t="inlineStr">
        <is>
          <t>2025 average salary gain</t>
        </is>
      </c>
      <c r="B37" s="26" t="n">
        <v>58790</v>
      </c>
      <c r="H37" s="27" t="inlineStr">
        <is>
          <t>PUBLIC</t>
        </is>
      </c>
    </row>
    <row r="39" ht="52" customHeight="1">
      <c r="A39" s="32" t="inlineStr">
        <is>
          <t>The interpolation has no free parameters: it is fixed by two published observations and the assumption of constant growth between them. The back-cast to FY2019 through FY2021 is a different matter and is the weakest link in the participant series, because it assumes the same growth rate held through a period that includes the pandemic and the start of the humanitarian response surge.</t>
        </is>
      </c>
    </row>
  </sheetData>
  <mergeCells count="2">
    <mergeCell ref="A12:I12"/>
    <mergeCell ref="A39:I39"/>
  </mergeCells>
  <pageMargins left="0.75" right="0.75" top="1" bottom="1" header="0.5" footer="0.5"/>
</worksheet>
</file>

<file path=xl/worksheets/sheet3.xml><?xml version="1.0" encoding="utf-8"?>
<worksheet xmlns="http://schemas.openxmlformats.org/spreadsheetml/2006/main">
  <sheetPr>
    <tabColor rgb="000B6E4F"/>
    <outlinePr summaryBelow="1" summaryRight="1"/>
    <pageSetUpPr/>
  </sheetPr>
  <dimension ref="A1:I72"/>
  <sheetViews>
    <sheetView showGridLines="0"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1" customWidth="1" min="8" max="8"/>
    <col width="62" customWidth="1" min="9" max="9"/>
  </cols>
  <sheetData>
    <row r="1" ht="24" customHeight="1">
      <c r="A1" s="1" t="inlineStr">
        <is>
          <t>Model inputs</t>
        </is>
      </c>
    </row>
    <row r="2">
      <c r="A2" s="2" t="inlineStr">
        <is>
          <t>Every driver the historical analysis and the forecast run on. Blue cells are inputs you can change; the rest of the workbook recalculates.</t>
        </is>
      </c>
    </row>
    <row r="3">
      <c r="A3" s="3" t="n"/>
      <c r="B3" s="3" t="n"/>
      <c r="C3" s="3" t="n"/>
      <c r="D3" s="3" t="n"/>
      <c r="E3" s="3" t="n"/>
      <c r="F3" s="3" t="n"/>
      <c r="G3" s="3" t="n"/>
      <c r="H3" s="3" t="n"/>
      <c r="I3" s="3" t="n"/>
    </row>
    <row r="4" ht="18" customHeight="1">
      <c r="A4" s="10" t="inlineStr">
        <is>
          <t>Functional expense allocation</t>
        </is>
      </c>
      <c r="B4" s="11" t="n"/>
      <c r="C4" s="11" t="n"/>
      <c r="D4" s="11" t="n"/>
      <c r="E4" s="11" t="n"/>
      <c r="F4" s="11" t="n"/>
      <c r="G4" s="11" t="n"/>
      <c r="H4" s="11" t="n"/>
      <c r="I4" s="11" t="n"/>
    </row>
    <row r="5" ht="30" customHeight="1">
      <c r="A5" s="23" t="inlineStr">
        <is>
          <t>Driver</t>
        </is>
      </c>
      <c r="B5" s="24" t="inlineStr">
        <is>
          <t>FY2019</t>
        </is>
      </c>
      <c r="C5" s="24" t="inlineStr">
        <is>
          <t>FY2020</t>
        </is>
      </c>
      <c r="D5" s="24" t="inlineStr">
        <is>
          <t>FY2021</t>
        </is>
      </c>
      <c r="E5" s="24" t="inlineStr">
        <is>
          <t>FY2022</t>
        </is>
      </c>
      <c r="F5" s="24" t="inlineStr">
        <is>
          <t>FY2023</t>
        </is>
      </c>
      <c r="G5" s="24" t="inlineStr">
        <is>
          <t>FY2024</t>
        </is>
      </c>
      <c r="H5" s="24" t="inlineStr">
        <is>
          <t>Tier</t>
        </is>
      </c>
      <c r="I5" s="24" t="inlineStr">
        <is>
          <t>Note</t>
        </is>
      </c>
    </row>
    <row r="6" ht="22" customHeight="1">
      <c r="A6" s="36" t="inlineStr">
        <is>
          <t>Program services share</t>
        </is>
      </c>
      <c r="B6" s="38" t="n">
        <v>0.762</v>
      </c>
      <c r="C6" s="38" t="n">
        <v>0.768</v>
      </c>
      <c r="D6" s="38" t="n">
        <v>0.774</v>
      </c>
      <c r="E6" s="38" t="n">
        <v>0.78</v>
      </c>
      <c r="F6" s="38" t="n">
        <v>0.783</v>
      </c>
      <c r="G6" s="38" t="n">
        <v>0.785</v>
      </c>
      <c r="H6" s="39" t="inlineStr">
        <is>
          <t>SYNTHETIC</t>
        </is>
      </c>
      <c r="I6" s="28" t="inlineStr">
        <is>
          <t>Applied to the filed total expense figure for each year, so program + management and general + fundraising reconciles exactly to the Form 990 total. T</t>
        </is>
      </c>
    </row>
    <row r="7" ht="22" customHeight="1">
      <c r="A7" s="36" t="inlineStr">
        <is>
          <t>Management and general share</t>
        </is>
      </c>
      <c r="B7" s="38" t="n">
        <v>0.14</v>
      </c>
      <c r="C7" s="38" t="n">
        <v>0.137</v>
      </c>
      <c r="D7" s="38" t="n">
        <v>0.134</v>
      </c>
      <c r="E7" s="38" t="n">
        <v>0.129</v>
      </c>
      <c r="F7" s="38" t="n">
        <v>0.124</v>
      </c>
      <c r="G7" s="38" t="n">
        <v>0.12</v>
      </c>
      <c r="H7" s="39" t="inlineStr">
        <is>
          <t>SYNTHETIC</t>
        </is>
      </c>
      <c r="I7" s="28" t="inlineStr">
        <is>
          <t>Semi-fixed; grows more slowly than programs as the organization scales.</t>
        </is>
      </c>
    </row>
    <row r="8" ht="22" customHeight="1">
      <c r="A8" s="36" t="inlineStr">
        <is>
          <t>Fundraising share</t>
        </is>
      </c>
      <c r="B8" s="38" t="n">
        <v>0.098</v>
      </c>
      <c r="C8" s="38" t="n">
        <v>0.095</v>
      </c>
      <c r="D8" s="38" t="n">
        <v>0.092</v>
      </c>
      <c r="E8" s="38" t="n">
        <v>0.091</v>
      </c>
      <c r="F8" s="38" t="n">
        <v>0.093</v>
      </c>
      <c r="G8" s="38" t="n">
        <v>0.095</v>
      </c>
      <c r="H8" s="39" t="inlineStr">
        <is>
          <t>SYNTHETIC</t>
        </is>
      </c>
      <c r="I8" s="28" t="inlineStr">
        <is>
          <t>Rises slightly in FY2024 as the organization invests in replacing surge funding.</t>
        </is>
      </c>
    </row>
    <row r="10" ht="18" customHeight="1">
      <c r="A10" s="10" t="inlineStr">
        <is>
          <t>Liquidity composition</t>
        </is>
      </c>
      <c r="B10" s="11" t="n"/>
      <c r="C10" s="11" t="n"/>
      <c r="D10" s="11" t="n"/>
      <c r="E10" s="11" t="n"/>
      <c r="F10" s="11" t="n"/>
      <c r="G10" s="11" t="n"/>
      <c r="H10" s="11" t="n"/>
      <c r="I10" s="11" t="n"/>
    </row>
    <row r="11" ht="30" customHeight="1">
      <c r="A11" s="23" t="inlineStr">
        <is>
          <t>Driver</t>
        </is>
      </c>
      <c r="B11" s="24" t="inlineStr">
        <is>
          <t>FY2019</t>
        </is>
      </c>
      <c r="C11" s="24" t="inlineStr">
        <is>
          <t>FY2020</t>
        </is>
      </c>
      <c r="D11" s="24" t="inlineStr">
        <is>
          <t>FY2021</t>
        </is>
      </c>
      <c r="E11" s="24" t="inlineStr">
        <is>
          <t>FY2022</t>
        </is>
      </c>
      <c r="F11" s="24" t="inlineStr">
        <is>
          <t>FY2023</t>
        </is>
      </c>
      <c r="G11" s="24" t="inlineStr">
        <is>
          <t>FY2024</t>
        </is>
      </c>
      <c r="H11" s="24" t="inlineStr">
        <is>
          <t>Tier</t>
        </is>
      </c>
      <c r="I11" s="24" t="inlineStr">
        <is>
          <t>Note</t>
        </is>
      </c>
    </row>
    <row r="12" ht="22" customHeight="1">
      <c r="A12" s="36" t="inlineStr">
        <is>
          <t>Cash as a share of total assets</t>
        </is>
      </c>
      <c r="B12" s="38" t="n">
        <v>0.42</v>
      </c>
      <c r="C12" s="38" t="n">
        <v>0.46</v>
      </c>
      <c r="D12" s="38" t="n">
        <v>0.44</v>
      </c>
      <c r="E12" s="38" t="n">
        <v>0.4</v>
      </c>
      <c r="F12" s="38" t="n">
        <v>0.39</v>
      </c>
      <c r="G12" s="38" t="n">
        <v>0.39569046353811</v>
      </c>
      <c r="H12" s="39" t="inlineStr">
        <is>
          <t>SYNTHETIC</t>
        </is>
      </c>
      <c r="I12" s="28" t="inlineStr">
        <is>
          <t>Strict cash measure.</t>
        </is>
      </c>
    </row>
    <row r="13" ht="22" customHeight="1">
      <c r="A13" s="36" t="inlineStr">
        <is>
          <t>Liquid reserves as a share of total assets</t>
        </is>
      </c>
      <c r="B13" s="38" t="n">
        <v>0.72</v>
      </c>
      <c r="C13" s="38" t="n">
        <v>0.76</v>
      </c>
      <c r="D13" s="38" t="n">
        <v>0.82</v>
      </c>
      <c r="E13" s="38" t="n">
        <v>0.86</v>
      </c>
      <c r="F13" s="38" t="n">
        <v>0.84</v>
      </c>
      <c r="G13" s="38" t="n">
        <v>0.8512628666621063</v>
      </c>
      <c r="H13" s="39" t="inlineStr">
        <is>
          <t>SYNTHETIC</t>
        </is>
      </c>
      <c r="I13" s="28" t="inlineStr">
        <is>
          <t>Cash plus short-term investments - the measure a board treats as available. Both are reported everywhere; they must never be mixed.</t>
        </is>
      </c>
    </row>
    <row r="15" ht="18" customHeight="1">
      <c r="A15" s="10" t="inlineStr">
        <is>
          <t>Revenue composition (share of contributions)</t>
        </is>
      </c>
      <c r="B15" s="11" t="n"/>
      <c r="C15" s="11" t="n"/>
      <c r="D15" s="11" t="n"/>
      <c r="E15" s="11" t="n"/>
      <c r="F15" s="11" t="n"/>
      <c r="G15" s="11" t="n"/>
      <c r="H15" s="11" t="n"/>
      <c r="I15" s="11" t="n"/>
    </row>
    <row r="16" ht="30" customHeight="1">
      <c r="A16" s="23" t="inlineStr">
        <is>
          <t>Category</t>
        </is>
      </c>
      <c r="B16" s="24" t="inlineStr">
        <is>
          <t>Share</t>
        </is>
      </c>
      <c r="C16" s="24" t="inlineStr"/>
      <c r="D16" s="24" t="inlineStr"/>
      <c r="E16" s="24" t="inlineStr"/>
      <c r="F16" s="24" t="inlineStr"/>
      <c r="G16" s="24" t="inlineStr"/>
      <c r="H16" s="24" t="inlineStr">
        <is>
          <t>Tier</t>
        </is>
      </c>
      <c r="I16" s="24" t="inlineStr">
        <is>
          <t>Note</t>
        </is>
      </c>
    </row>
    <row r="17" ht="22" customHeight="1">
      <c r="A17" s="36" t="inlineStr">
        <is>
          <t>Individual donations</t>
        </is>
      </c>
      <c r="B17" s="38" t="n">
        <v>0.12</v>
      </c>
      <c r="H17" s="39" t="inlineStr">
        <is>
          <t>SYNTHETIC</t>
        </is>
      </c>
      <c r="I17" s="28" t="inlineStr">
        <is>
          <t>Applied to the filed contributions total each year. The heavy weighting toward foundation and government funding is the analytical</t>
        </is>
      </c>
    </row>
    <row r="18" ht="22" customHeight="1">
      <c r="A18" s="36" t="inlineStr">
        <is>
          <t>Corporate donations</t>
        </is>
      </c>
      <c r="B18" s="38" t="n">
        <v>0.21</v>
      </c>
      <c r="H18" s="39" t="inlineStr">
        <is>
          <t>SYNTHETIC</t>
        </is>
      </c>
      <c r="I18" s="28" t="inlineStr">
        <is>
          <t>Applied to the filed contributions total each year. The heavy weighting toward foundation and government funding is the analytical</t>
        </is>
      </c>
    </row>
    <row r="19" ht="22" customHeight="1">
      <c r="A19" s="36" t="inlineStr">
        <is>
          <t>Foundation grants</t>
        </is>
      </c>
      <c r="B19" s="38" t="n">
        <v>0.44</v>
      </c>
      <c r="H19" s="39" t="inlineStr">
        <is>
          <t>SYNTHETIC</t>
        </is>
      </c>
      <c r="I19" s="28" t="inlineStr">
        <is>
          <t>Applied to the filed contributions total each year. The heavy weighting toward foundation and government funding is the analytical</t>
        </is>
      </c>
    </row>
    <row r="20" ht="22" customHeight="1">
      <c r="A20" s="36" t="inlineStr">
        <is>
          <t>Government funding</t>
        </is>
      </c>
      <c r="B20" s="38" t="n">
        <v>0.19</v>
      </c>
      <c r="H20" s="39" t="inlineStr">
        <is>
          <t>SYNTHETIC</t>
        </is>
      </c>
      <c r="I20" s="28" t="inlineStr">
        <is>
          <t>Applied to the filed contributions total each year. The heavy weighting toward foundation and government funding is the analytical</t>
        </is>
      </c>
    </row>
    <row r="21" ht="22" customHeight="1">
      <c r="A21" s="36" t="inlineStr">
        <is>
          <t>Fundraising events</t>
        </is>
      </c>
      <c r="B21" s="38" t="n">
        <v>0.04</v>
      </c>
      <c r="H21" s="39" t="inlineStr">
        <is>
          <t>SYNTHETIC</t>
        </is>
      </c>
      <c r="I21" s="28" t="inlineStr">
        <is>
          <t>Applied to the filed contributions total each year. The heavy weighting toward foundation and government funding is the analytical</t>
        </is>
      </c>
    </row>
    <row r="23" ht="18" customHeight="1">
      <c r="A23" s="10" t="inlineStr">
        <is>
          <t>Revenue drivers: donor count and average gift</t>
        </is>
      </c>
      <c r="B23" s="11" t="n"/>
      <c r="C23" s="11" t="n"/>
      <c r="D23" s="11" t="n"/>
      <c r="E23" s="11" t="n"/>
      <c r="F23" s="11" t="n"/>
      <c r="G23" s="11" t="n"/>
      <c r="H23" s="11" t="n"/>
      <c r="I23" s="11" t="n"/>
    </row>
    <row r="24" ht="30" customHeight="1">
      <c r="A24" s="23" t="inlineStr">
        <is>
          <t>Category</t>
        </is>
      </c>
      <c r="B24" s="24" t="inlineStr">
        <is>
          <t>FY2024 donors</t>
        </is>
      </c>
      <c r="C24" s="24" t="inlineStr">
        <is>
          <t>Retention</t>
        </is>
      </c>
      <c r="D24" s="24" t="inlineStr">
        <is>
          <t>FY2024 revenue</t>
        </is>
      </c>
      <c r="E24" s="24" t="inlineStr">
        <is>
          <t>Average gift</t>
        </is>
      </c>
      <c r="F24" s="24" t="inlineStr"/>
      <c r="G24" s="24" t="inlineStr"/>
      <c r="H24" s="24" t="inlineStr">
        <is>
          <t>Tier</t>
        </is>
      </c>
      <c r="I24" s="24" t="inlineStr">
        <is>
          <t>Note</t>
        </is>
      </c>
    </row>
    <row r="25">
      <c r="A25" s="36" t="inlineStr">
        <is>
          <t>Individual donations</t>
        </is>
      </c>
      <c r="B25" s="26" t="n">
        <v>8420</v>
      </c>
      <c r="C25" s="38" t="n">
        <v>0.62</v>
      </c>
      <c r="D25" s="40">
        <f>'Form 990 data'!G6*B17</f>
        <v/>
      </c>
      <c r="E25" s="41">
        <f>D25/B25</f>
        <v/>
      </c>
      <c r="H25" s="39" t="inlineStr">
        <is>
          <t>SYNTHETIC</t>
        </is>
      </c>
      <c r="I25" s="34" t="inlineStr">
        <is>
          <t>Donor counts are assumed; average gift is then solved so that donors x average gift equals the modelled category revenue</t>
        </is>
      </c>
    </row>
    <row r="26">
      <c r="A26" s="36" t="inlineStr">
        <is>
          <t>Corporate donations</t>
        </is>
      </c>
      <c r="B26" s="26" t="n">
        <v>214</v>
      </c>
      <c r="C26" s="38" t="n">
        <v>0.78</v>
      </c>
      <c r="D26" s="40">
        <f>'Form 990 data'!G6*B18</f>
        <v/>
      </c>
      <c r="E26" s="41">
        <f>D26/B26</f>
        <v/>
      </c>
      <c r="H26" s="39" t="inlineStr">
        <is>
          <t>SYNTHETIC</t>
        </is>
      </c>
      <c r="I26" s="34" t="inlineStr">
        <is>
          <t>Donor counts are assumed; average gift is then solved so that donors x average gift equals the modelled category revenue</t>
        </is>
      </c>
    </row>
    <row r="27">
      <c r="A27" s="36" t="inlineStr">
        <is>
          <t>Foundation grants</t>
        </is>
      </c>
      <c r="B27" s="26" t="n">
        <v>63</v>
      </c>
      <c r="C27" s="38" t="n">
        <v>0.71</v>
      </c>
      <c r="D27" s="40">
        <f>'Form 990 data'!G6*B19</f>
        <v/>
      </c>
      <c r="E27" s="41">
        <f>D27/B27</f>
        <v/>
      </c>
      <c r="H27" s="39" t="inlineStr">
        <is>
          <t>SYNTHETIC</t>
        </is>
      </c>
      <c r="I27" s="34" t="inlineStr">
        <is>
          <t>Donor counts are assumed; average gift is then solved so that donors x average gift equals the modelled category revenue</t>
        </is>
      </c>
    </row>
    <row r="28">
      <c r="A28" s="36" t="inlineStr">
        <is>
          <t>Government funding</t>
        </is>
      </c>
      <c r="B28" s="26" t="n">
        <v>11</v>
      </c>
      <c r="C28" s="38" t="n">
        <v>0.83</v>
      </c>
      <c r="D28" s="40">
        <f>'Form 990 data'!G6*B20</f>
        <v/>
      </c>
      <c r="E28" s="41">
        <f>D28/B28</f>
        <v/>
      </c>
      <c r="H28" s="39" t="inlineStr">
        <is>
          <t>SYNTHETIC</t>
        </is>
      </c>
      <c r="I28" s="34" t="inlineStr">
        <is>
          <t>Donor counts are assumed; average gift is then solved so that donors x average gift equals the modelled category revenue</t>
        </is>
      </c>
    </row>
    <row r="29">
      <c r="A29" s="36" t="inlineStr">
        <is>
          <t>Fundraising events</t>
        </is>
      </c>
      <c r="B29" s="26" t="n">
        <v>1640</v>
      </c>
      <c r="C29" s="38" t="n">
        <v>0.48</v>
      </c>
      <c r="D29" s="40">
        <f>'Form 990 data'!G6*B21</f>
        <v/>
      </c>
      <c r="E29" s="41">
        <f>D29/B29</f>
        <v/>
      </c>
      <c r="H29" s="39" t="inlineStr">
        <is>
          <t>SYNTHETIC</t>
        </is>
      </c>
      <c r="I29" s="34" t="inlineStr">
        <is>
          <t>Donor counts are assumed; average gift is then solved so that donors x average gift equals the modelled category revenue</t>
        </is>
      </c>
    </row>
    <row r="30">
      <c r="A30" s="42" t="inlineStr">
        <is>
          <t>Total</t>
        </is>
      </c>
      <c r="B30" s="43" t="n"/>
      <c r="C30" s="43" t="n"/>
      <c r="D30" s="44">
        <f>SUM(D25:D29)</f>
        <v/>
      </c>
      <c r="E30" s="43" t="n"/>
    </row>
    <row r="31">
      <c r="A31" s="30" t="inlineStr">
        <is>
          <t>Check: ties to filed contributions</t>
        </is>
      </c>
      <c r="D31" s="31">
        <f>IF(ABS(D30-'Form 990 data'!G6)&lt;1,"ok","CHECK")</f>
        <v/>
      </c>
    </row>
    <row r="33" ht="18" customHeight="1">
      <c r="A33" s="10" t="inlineStr">
        <is>
          <t>Program portfolio, FY2024 base year</t>
        </is>
      </c>
      <c r="B33" s="11" t="n"/>
      <c r="C33" s="11" t="n"/>
      <c r="D33" s="11" t="n"/>
      <c r="E33" s="11" t="n"/>
      <c r="F33" s="11" t="n"/>
      <c r="G33" s="11" t="n"/>
      <c r="H33" s="11" t="n"/>
      <c r="I33" s="11" t="n"/>
    </row>
    <row r="34" ht="30" customHeight="1">
      <c r="A34" s="23" t="inlineStr">
        <is>
          <t>Program</t>
        </is>
      </c>
      <c r="B34" s="24" t="inlineStr">
        <is>
          <t>Participants</t>
        </is>
      </c>
      <c r="C34" s="24" t="inlineStr">
        <is>
          <t>Outcomes</t>
        </is>
      </c>
      <c r="D34" s="24" t="inlineStr">
        <is>
          <t>Program cost</t>
        </is>
      </c>
      <c r="E34" s="24" t="inlineStr">
        <is>
          <t>Completion rate</t>
        </is>
      </c>
      <c r="F34" s="24" t="inlineStr">
        <is>
          <t>Salary gain</t>
        </is>
      </c>
      <c r="G34" s="24" t="inlineStr">
        <is>
          <t>Staff hrs / participant</t>
        </is>
      </c>
      <c r="H34" s="24" t="inlineStr">
        <is>
          <t>Tier</t>
        </is>
      </c>
      <c r="I34" s="24" t="inlineStr">
        <is>
          <t>Note</t>
        </is>
      </c>
    </row>
    <row r="35" ht="24" customHeight="1">
      <c r="A35" s="36" t="inlineStr">
        <is>
          <t>Career Coaching</t>
        </is>
      </c>
      <c r="B35" s="26" t="n">
        <v>2050</v>
      </c>
      <c r="C35" s="26" t="n">
        <v>861</v>
      </c>
      <c r="D35" s="26" t="n">
        <v>7890000</v>
      </c>
      <c r="E35" s="38" t="n">
        <v>0.71</v>
      </c>
      <c r="F35" s="26" t="n">
        <v>61000</v>
      </c>
      <c r="G35" s="45" t="n">
        <v>39</v>
      </c>
      <c r="H35" s="39" t="inlineStr">
        <is>
          <t>SYNTHETIC</t>
        </is>
      </c>
      <c r="I35" s="34" t="inlineStr">
        <is>
          <t>Intensive one-to-one coaching for work-authorized immigrant and refugee professionals: resume and interview pr</t>
        </is>
      </c>
    </row>
    <row r="36" ht="24" customHeight="1">
      <c r="A36" s="36" t="inlineStr">
        <is>
          <t>Digital Learning</t>
        </is>
      </c>
      <c r="B36" s="26" t="n">
        <v>7395</v>
      </c>
      <c r="C36" s="26" t="n">
        <v>333</v>
      </c>
      <c r="D36" s="26" t="n">
        <v>2220000</v>
      </c>
      <c r="E36" s="38" t="n">
        <v>0.24</v>
      </c>
      <c r="F36" s="26" t="n">
        <v>37000</v>
      </c>
      <c r="G36" s="45" t="n">
        <v>2.5</v>
      </c>
      <c r="H36" s="39" t="inlineStr">
        <is>
          <t>SYNTHETIC</t>
        </is>
      </c>
      <c r="I36" s="34" t="inlineStr">
        <is>
          <t>Self-serve online curriculum and community, open to any eligible jobseeker. Very low marginal cost per partici</t>
        </is>
      </c>
    </row>
    <row r="37" ht="24" customHeight="1">
      <c r="A37" s="36" t="inlineStr">
        <is>
          <t>Credential Support</t>
        </is>
      </c>
      <c r="B37" s="26" t="n">
        <v>700</v>
      </c>
      <c r="C37" s="26" t="n">
        <v>217</v>
      </c>
      <c r="D37" s="26" t="n">
        <v>2940000</v>
      </c>
      <c r="E37" s="38" t="n">
        <v>0.58</v>
      </c>
      <c r="F37" s="26" t="n">
        <v>88000</v>
      </c>
      <c r="G37" s="45" t="n">
        <v>60</v>
      </c>
      <c r="H37" s="39" t="inlineStr">
        <is>
          <t>SYNTHETIC</t>
        </is>
      </c>
      <c r="I37" s="34" t="inlineStr">
        <is>
          <t xml:space="preserve">Support for foreign-credentialed professionals - physicians, engineers, accountants - navigating US licensure </t>
        </is>
      </c>
    </row>
    <row r="38" ht="24" customHeight="1">
      <c r="A38" s="36" t="inlineStr">
        <is>
          <t>Partner Capacity</t>
        </is>
      </c>
      <c r="B38" s="26" t="n">
        <v>641</v>
      </c>
      <c r="C38" s="26" t="n">
        <v>83</v>
      </c>
      <c r="D38" s="26" t="n">
        <v>1296382</v>
      </c>
      <c r="E38" s="38" t="n">
        <v>0.46</v>
      </c>
      <c r="F38" s="26" t="n">
        <v>46500</v>
      </c>
      <c r="G38" s="45" t="n">
        <v>15.58455538221526</v>
      </c>
      <c r="H38" s="39" t="inlineStr">
        <is>
          <t>SYNTHETIC</t>
        </is>
      </c>
      <c r="I38" s="34" t="inlineStr">
        <is>
          <t>Training and tooling delivered to staff at partner workforce development organizations, who then serve jobseek</t>
        </is>
      </c>
    </row>
    <row r="39">
      <c r="A39" s="42" t="inlineStr">
        <is>
          <t>Total</t>
        </is>
      </c>
      <c r="B39" s="44">
        <f>SUM(B35:B38)</f>
        <v/>
      </c>
      <c r="C39" s="44">
        <f>SUM(C35:C38)</f>
        <v/>
      </c>
      <c r="D39" s="44">
        <f>SUM(D35:D38)</f>
        <v/>
      </c>
      <c r="E39" s="43" t="n"/>
      <c r="F39" s="43" t="n"/>
      <c r="G39" s="46">
        <f>SUM(G35:G38)</f>
        <v/>
      </c>
    </row>
    <row r="40">
      <c r="A40" s="30" t="inlineStr">
        <is>
          <t>Check: costs tie to the program expense pool</t>
        </is>
      </c>
      <c r="D40" s="31">
        <f>IF(ABS(D39-'Form 990 data'!G17*G6)&lt;1,"ok","CHECK")</f>
        <v/>
      </c>
    </row>
    <row r="42" ht="18" customHeight="1">
      <c r="A42" s="10" t="inlineStr">
        <is>
          <t>Personnel</t>
        </is>
      </c>
      <c r="B42" s="11" t="n"/>
      <c r="C42" s="11" t="n"/>
      <c r="D42" s="11" t="n"/>
      <c r="E42" s="11" t="n"/>
      <c r="F42" s="11" t="n"/>
      <c r="G42" s="11" t="n"/>
      <c r="H42" s="11" t="n"/>
      <c r="I42" s="11" t="n"/>
    </row>
    <row r="43" ht="22" customHeight="1">
      <c r="A43" s="36" t="inlineStr">
        <is>
          <t>Full-time equivalents, FY2024</t>
        </is>
      </c>
      <c r="B43" s="26" t="n">
        <v>121</v>
      </c>
      <c r="H43" s="39" t="inlineStr">
        <is>
          <t>SYNTHETIC</t>
        </is>
      </c>
      <c r="I43" s="28" t="inlineStr">
        <is>
          <t>FY2024 salaries of $10,260,344 (officer compensation plus other salaries, both public) divided by an assumed 121 FTE gives an average salary</t>
        </is>
      </c>
    </row>
    <row r="44" ht="22" customHeight="1">
      <c r="A44" s="36" t="inlineStr">
        <is>
          <t>Payroll tax rate</t>
        </is>
      </c>
      <c r="B44" s="47" t="n">
        <v>0.07820000000000001</v>
      </c>
      <c r="H44" s="29" t="inlineStr">
        <is>
          <t>DERIVED</t>
        </is>
      </c>
      <c r="I44" s="28" t="inlineStr">
        <is>
          <t>FY2023 payroll tax divided by FY2023 salaries, both filed figures.</t>
        </is>
      </c>
    </row>
    <row r="45" ht="22" customHeight="1">
      <c r="A45" s="36" t="inlineStr">
        <is>
          <t>Benefits load</t>
        </is>
      </c>
      <c r="B45" s="38" t="n">
        <v>0.1</v>
      </c>
      <c r="H45" s="39" t="inlineStr">
        <is>
          <t>SYNTHETIC</t>
        </is>
      </c>
      <c r="I45" s="28" t="inlineStr">
        <is>
          <t>Health, retirement and other benefits as a share of salary.</t>
        </is>
      </c>
    </row>
    <row r="46" ht="22" customHeight="1">
      <c r="A46" s="36" t="inlineStr">
        <is>
          <t>Productive hours per FTE</t>
        </is>
      </c>
      <c r="B46" s="26" t="n">
        <v>1680</v>
      </c>
      <c r="H46" s="39" t="inlineStr">
        <is>
          <t>SYNTHETIC</t>
        </is>
      </c>
      <c r="I46" s="28" t="inlineStr">
        <is>
          <t>2,080 gross hours less leave, training and non-delivery time.</t>
        </is>
      </c>
    </row>
    <row r="47" ht="22" customHeight="1">
      <c r="A47" s="36" t="inlineStr">
        <is>
          <t>Share of FTE in program delivery</t>
        </is>
      </c>
      <c r="B47" s="38" t="n">
        <v>0.74</v>
      </c>
      <c r="H47" s="39" t="inlineStr">
        <is>
          <t>SYNTHETIC</t>
        </is>
      </c>
      <c r="I47" s="28" t="inlineStr">
        <is>
          <t>Balance sits in administration and fundraising.</t>
        </is>
      </c>
    </row>
    <row r="49" ht="18" customHeight="1">
      <c r="A49" s="10" t="inlineStr">
        <is>
          <t>Cost behaviour</t>
        </is>
      </c>
      <c r="B49" s="11" t="n"/>
      <c r="C49" s="11" t="n"/>
      <c r="D49" s="11" t="n"/>
      <c r="E49" s="11" t="n"/>
      <c r="F49" s="11" t="n"/>
      <c r="G49" s="11" t="n"/>
      <c r="H49" s="11" t="n"/>
      <c r="I49" s="11" t="n"/>
    </row>
    <row r="50" ht="22" customHeight="1">
      <c r="A50" s="36" t="inlineStr">
        <is>
          <t>Average gift inflation</t>
        </is>
      </c>
      <c r="B50" s="38" t="n">
        <v>0.02</v>
      </c>
      <c r="H50" s="39" t="inlineStr">
        <is>
          <t>SYNTHETIC</t>
        </is>
      </c>
      <c r="I50" s="28" t="inlineStr">
        <is>
          <t>Average gift is assumed to grow 2.0% a year with general giving inflation. The remainder of each category's growth driver is carried by dono</t>
        </is>
      </c>
    </row>
    <row r="51" ht="22" customHeight="1">
      <c r="A51" s="36" t="inlineStr">
        <is>
          <t>Management and general, variable share</t>
        </is>
      </c>
      <c r="B51" s="38" t="n">
        <v>0.35</v>
      </c>
      <c r="H51" s="39" t="inlineStr">
        <is>
          <t>SYNTHETIC</t>
        </is>
      </c>
      <c r="I51" s="28" t="inlineStr">
        <is>
          <t>Management and general is modelled as 35% variable with program scale and 65% fixed; fundraising as 50% variable with contribution scale. Bo</t>
        </is>
      </c>
    </row>
    <row r="52" ht="22" customHeight="1">
      <c r="A52" s="36" t="inlineStr">
        <is>
          <t>Fundraising, variable share</t>
        </is>
      </c>
      <c r="B52" s="38" t="n">
        <v>0.5</v>
      </c>
      <c r="H52" s="39" t="inlineStr">
        <is>
          <t>SYNTHETIC</t>
        </is>
      </c>
      <c r="I52" s="28" t="inlineStr">
        <is>
          <t>Scales with contribution volume; the rest is standing fundraising infrastructure.</t>
        </is>
      </c>
    </row>
    <row r="54" ht="18" customHeight="1">
      <c r="A54" s="10" t="inlineStr">
        <is>
          <t>Base case forecast drivers</t>
        </is>
      </c>
      <c r="B54" s="11" t="n"/>
      <c r="C54" s="11" t="n"/>
      <c r="D54" s="11" t="n"/>
      <c r="E54" s="11" t="n"/>
      <c r="F54" s="11" t="n"/>
      <c r="G54" s="11" t="n"/>
      <c r="H54" s="11" t="n"/>
      <c r="I54" s="11" t="n"/>
    </row>
    <row r="55" ht="22" customHeight="1">
      <c r="A55" s="36" t="inlineStr">
        <is>
          <t>Individual donation growth</t>
        </is>
      </c>
      <c r="B55" s="38" t="n">
        <v>0.04</v>
      </c>
      <c r="H55" s="39" t="inlineStr">
        <is>
          <t>SYNTHETIC</t>
        </is>
      </c>
      <c r="I55" s="28" t="inlineStr">
        <is>
          <t>Humanitarian-response funding normalizes gradually. Foundation grants decline 6% a year and government funding 10% a year as emerg</t>
        </is>
      </c>
    </row>
    <row r="56" ht="22" customHeight="1">
      <c r="A56" s="36" t="inlineStr">
        <is>
          <t>Corporate donation growth</t>
        </is>
      </c>
      <c r="B56" s="38" t="n">
        <v>0.03</v>
      </c>
      <c r="H56" s="39" t="inlineStr">
        <is>
          <t>SYNTHETIC</t>
        </is>
      </c>
      <c r="I56" s="28" t="inlineStr">
        <is>
          <t>Humanitarian-response funding normalizes gradually. Foundation grants decline 6% a year and government funding 10% a year as emerg</t>
        </is>
      </c>
    </row>
    <row r="57" ht="22" customHeight="1">
      <c r="A57" s="36" t="inlineStr">
        <is>
          <t>Foundation grant growth</t>
        </is>
      </c>
      <c r="B57" s="38" t="n">
        <v>-0.06</v>
      </c>
      <c r="H57" s="39" t="inlineStr">
        <is>
          <t>SYNTHETIC</t>
        </is>
      </c>
      <c r="I57" s="28" t="inlineStr">
        <is>
          <t>Humanitarian-response funding normalizes gradually. Foundation grants decline 6% a year and government funding 10% a year as emerg</t>
        </is>
      </c>
    </row>
    <row r="58" ht="22" customHeight="1">
      <c r="A58" s="36" t="inlineStr">
        <is>
          <t>Government funding growth</t>
        </is>
      </c>
      <c r="B58" s="38" t="n">
        <v>-0.1</v>
      </c>
      <c r="H58" s="39" t="inlineStr">
        <is>
          <t>SYNTHETIC</t>
        </is>
      </c>
      <c r="I58" s="28" t="inlineStr">
        <is>
          <t>Humanitarian-response funding normalizes gradually. Foundation grants decline 6% a year and government funding 10% a year as emerg</t>
        </is>
      </c>
    </row>
    <row r="59" ht="22" customHeight="1">
      <c r="A59" s="36" t="inlineStr">
        <is>
          <t>Fundraising event growth</t>
        </is>
      </c>
      <c r="B59" s="38" t="n">
        <v>0.02</v>
      </c>
      <c r="H59" s="39" t="inlineStr">
        <is>
          <t>SYNTHETIC</t>
        </is>
      </c>
      <c r="I59" s="28" t="inlineStr">
        <is>
          <t>Humanitarian-response funding normalizes gradually. Foundation grants decline 6% a year and government funding 10% a year as emerg</t>
        </is>
      </c>
    </row>
    <row r="60" ht="22" customHeight="1">
      <c r="A60" s="36" t="inlineStr">
        <is>
          <t>Program service revenue growth</t>
        </is>
      </c>
      <c r="B60" s="38" t="n">
        <v>0.08</v>
      </c>
      <c r="H60" s="39" t="inlineStr">
        <is>
          <t>SYNTHETIC</t>
        </is>
      </c>
      <c r="I60" s="28" t="inlineStr">
        <is>
          <t>Humanitarian-response funding normalizes gradually. Foundation grants decline 6% a year and government funding 10% a year as emerg</t>
        </is>
      </c>
    </row>
    <row r="61" ht="22" customHeight="1">
      <c r="A61" s="36" t="inlineStr">
        <is>
          <t>Cost per participant inflation</t>
        </is>
      </c>
      <c r="B61" s="38" t="n">
        <v>0.035</v>
      </c>
      <c r="H61" s="39" t="inlineStr">
        <is>
          <t>SYNTHETIC</t>
        </is>
      </c>
      <c r="I61" s="28" t="inlineStr">
        <is>
          <t>Humanitarian-response funding normalizes gradually. Foundation grants decline 6% a year and government funding 10% a year as emerg</t>
        </is>
      </c>
    </row>
    <row r="62" ht="22" customHeight="1">
      <c r="A62" s="36" t="inlineStr">
        <is>
          <t>Personnel cost inflation</t>
        </is>
      </c>
      <c r="B62" s="38" t="n">
        <v>0.04</v>
      </c>
      <c r="H62" s="39" t="inlineStr">
        <is>
          <t>SYNTHETIC</t>
        </is>
      </c>
      <c r="I62" s="28" t="inlineStr">
        <is>
          <t>Humanitarian-response funding normalizes gradually. Foundation grants decline 6% a year and government funding 10% a year as emerg</t>
        </is>
      </c>
    </row>
    <row r="63" ht="22" customHeight="1">
      <c r="A63" s="36" t="inlineStr">
        <is>
          <t>Participant growth</t>
        </is>
      </c>
      <c r="B63" s="38" t="n">
        <v>0.06</v>
      </c>
      <c r="H63" s="39" t="inlineStr">
        <is>
          <t>SYNTHETIC</t>
        </is>
      </c>
      <c r="I63" s="28" t="inlineStr">
        <is>
          <t>Humanitarian-response funding normalizes gradually. Foundation grants decline 6% a year and government funding 10% a year as emerg</t>
        </is>
      </c>
    </row>
    <row r="64" ht="22" customHeight="1">
      <c r="A64" s="36" t="inlineStr">
        <is>
          <t>Return on investment balance</t>
        </is>
      </c>
      <c r="B64" s="38" t="n">
        <v>0.038</v>
      </c>
      <c r="H64" s="39" t="inlineStr">
        <is>
          <t>SYNTHETIC</t>
        </is>
      </c>
      <c r="I64" s="28" t="inlineStr">
        <is>
          <t>Humanitarian-response funding normalizes gradually. Foundation grants decline 6% a year and government funding 10% a year as emerg</t>
        </is>
      </c>
    </row>
    <row r="66" ht="18" customHeight="1">
      <c r="A66" s="10" t="inlineStr">
        <is>
          <t>Benchmarks and policy limits</t>
        </is>
      </c>
      <c r="B66" s="11" t="n"/>
      <c r="C66" s="11" t="n"/>
      <c r="D66" s="11" t="n"/>
      <c r="E66" s="11" t="n"/>
      <c r="F66" s="11" t="n"/>
      <c r="G66" s="11" t="n"/>
      <c r="H66" s="11" t="n"/>
      <c r="I66" s="11" t="n"/>
    </row>
    <row r="67" ht="22" customHeight="1">
      <c r="A67" s="36" t="inlineStr">
        <is>
          <t>Minimum program expense ratio (BBB Standard 8)</t>
        </is>
      </c>
      <c r="B67" s="38" t="n">
        <v>0.65</v>
      </c>
      <c r="H67" s="48" t="inlineStr">
        <is>
          <t>BENCHMARK</t>
        </is>
      </c>
      <c r="I67" s="28" t="inlineStr">
        <is>
          <t>BBB Wise Giving Alliance: at least 65% of total expenses on programs.</t>
        </is>
      </c>
    </row>
    <row r="68" ht="22" customHeight="1">
      <c r="A68" s="36" t="inlineStr">
        <is>
          <t>Maximum fundraising cost ratio (BBB Standard 9)</t>
        </is>
      </c>
      <c r="B68" s="38" t="n">
        <v>0.35</v>
      </c>
      <c r="H68" s="48" t="inlineStr">
        <is>
          <t>BENCHMARK</t>
        </is>
      </c>
      <c r="I68" s="28" t="inlineStr">
        <is>
          <t>No more than 35 cents spent to raise a dollar.</t>
        </is>
      </c>
    </row>
    <row r="69" ht="22" customHeight="1">
      <c r="A69" s="36" t="inlineStr">
        <is>
          <t>Maximum net assets, multiple of expenses (BBB Standard 10)</t>
        </is>
      </c>
      <c r="B69" s="49" t="n">
        <v>3</v>
      </c>
      <c r="H69" s="48" t="inlineStr">
        <is>
          <t>BENCHMARK</t>
        </is>
      </c>
      <c r="I69" s="28" t="inlineStr">
        <is>
          <t>Unrestricted net assets available for use should not exceed three times annual expenses. This is the binding constraint at the top of the range for this organization.</t>
        </is>
      </c>
    </row>
    <row r="70" ht="22" customHeight="1">
      <c r="A70" s="36" t="inlineStr">
        <is>
          <t>Operating reserve target, low</t>
        </is>
      </c>
      <c r="B70" s="50" t="n">
        <v>3</v>
      </c>
      <c r="H70" s="48" t="inlineStr">
        <is>
          <t>BENCHMARK</t>
        </is>
      </c>
      <c r="I70" s="28" t="inlineStr">
        <is>
          <t>Propel Nonprofits: a commonly used goal is three to six months.</t>
        </is>
      </c>
    </row>
    <row r="71" ht="22" customHeight="1">
      <c r="A71" s="36" t="inlineStr">
        <is>
          <t>Operating reserve target, high</t>
        </is>
      </c>
      <c r="B71" s="50" t="n">
        <v>6</v>
      </c>
      <c r="H71" s="48" t="inlineStr">
        <is>
          <t>BENCHMARK</t>
        </is>
      </c>
      <c r="I71" s="28" t="inlineStr">
        <is>
          <t>Also the reserve floor used in the sensitivity and allocation models.</t>
        </is>
      </c>
    </row>
    <row r="72" ht="22" customHeight="1">
      <c r="A72" s="36" t="inlineStr">
        <is>
          <t>Reserve ceiling</t>
        </is>
      </c>
      <c r="B72" s="50" t="n">
        <v>24</v>
      </c>
      <c r="H72" s="48" t="inlineStr">
        <is>
          <t>BENCHMARK</t>
        </is>
      </c>
      <c r="I72" s="28" t="inlineStr">
        <is>
          <t>Propel Nonprofits: reserves should not exceed two years of budget.</t>
        </is>
      </c>
    </row>
  </sheetData>
  <pageMargins left="0.75" right="0.75" top="1" bottom="1" header="0.5" footer="0.5"/>
</worksheet>
</file>

<file path=xl/worksheets/sheet4.xml><?xml version="1.0" encoding="utf-8"?>
<worksheet xmlns="http://schemas.openxmlformats.org/spreadsheetml/2006/main">
  <sheetPr>
    <tabColor rgb="0012324F"/>
    <outlinePr summaryBelow="1" summaryRight="1"/>
    <pageSetUpPr/>
  </sheetPr>
  <dimension ref="A1:I7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3" customWidth="1" min="8" max="8"/>
    <col width="60" customWidth="1" min="9" max="9"/>
  </cols>
  <sheetData>
    <row r="1" ht="24" customHeight="1">
      <c r="A1" s="1" t="inlineStr">
        <is>
          <t>Historical financial analysis, FY2019 - FY2024</t>
        </is>
      </c>
    </row>
    <row r="2">
      <c r="A2" s="2" t="inlineStr">
        <is>
          <t>All figures calculated from the Form 990 data and model input sheets. Nothing on this sheet is typed in.</t>
        </is>
      </c>
    </row>
    <row r="3">
      <c r="A3" s="3" t="n"/>
      <c r="B3" s="3" t="n"/>
      <c r="C3" s="3" t="n"/>
      <c r="D3" s="3" t="n"/>
      <c r="E3" s="3" t="n"/>
      <c r="F3" s="3" t="n"/>
      <c r="G3" s="3" t="n"/>
      <c r="H3" s="3" t="n"/>
      <c r="I3" s="3" t="n"/>
    </row>
    <row r="4" ht="30" customHeight="1">
      <c r="A4" s="23" t="inlineStr">
        <is>
          <t>Line</t>
        </is>
      </c>
      <c r="B4" s="24" t="inlineStr">
        <is>
          <t>FY2019</t>
        </is>
      </c>
      <c r="C4" s="24" t="inlineStr">
        <is>
          <t>FY2020</t>
        </is>
      </c>
      <c r="D4" s="24" t="inlineStr">
        <is>
          <t>FY2021</t>
        </is>
      </c>
      <c r="E4" s="24" t="inlineStr">
        <is>
          <t>FY2022</t>
        </is>
      </c>
      <c r="F4" s="24" t="inlineStr">
        <is>
          <t>FY2023</t>
        </is>
      </c>
      <c r="G4" s="24" t="inlineStr">
        <is>
          <t>FY2024</t>
        </is>
      </c>
      <c r="H4" s="24" t="inlineStr"/>
      <c r="I4" s="24" t="inlineStr">
        <is>
          <t>Note</t>
        </is>
      </c>
    </row>
    <row r="5" ht="18" customHeight="1">
      <c r="A5" s="10" t="inlineStr">
        <is>
          <t>Statement of activities</t>
        </is>
      </c>
      <c r="B5" s="11" t="n"/>
      <c r="C5" s="11" t="n"/>
      <c r="D5" s="11" t="n"/>
      <c r="E5" s="11" t="n"/>
      <c r="F5" s="11" t="n"/>
      <c r="G5" s="11" t="n"/>
      <c r="H5" s="11" t="n"/>
      <c r="I5" s="11" t="n"/>
    </row>
    <row r="6">
      <c r="A6" s="51" t="inlineStr">
        <is>
          <t>Contributions and grants</t>
        </is>
      </c>
      <c r="B6" s="52">
        <f>'Form 990 data'!B6</f>
        <v/>
      </c>
      <c r="C6" s="52">
        <f>'Form 990 data'!C6</f>
        <v/>
      </c>
      <c r="D6" s="52">
        <f>'Form 990 data'!D6</f>
        <v/>
      </c>
      <c r="E6" s="52">
        <f>'Form 990 data'!E6</f>
        <v/>
      </c>
      <c r="F6" s="52">
        <f>'Form 990 data'!F6</f>
        <v/>
      </c>
      <c r="G6" s="52">
        <f>'Form 990 data'!G6</f>
        <v/>
      </c>
    </row>
    <row r="7">
      <c r="A7" s="51" t="inlineStr">
        <is>
          <t>Program service revenue</t>
        </is>
      </c>
      <c r="B7" s="52">
        <f>'Form 990 data'!B7</f>
        <v/>
      </c>
      <c r="C7" s="52">
        <f>'Form 990 data'!C7</f>
        <v/>
      </c>
      <c r="D7" s="52">
        <f>'Form 990 data'!D7</f>
        <v/>
      </c>
      <c r="E7" s="52">
        <f>'Form 990 data'!E7</f>
        <v/>
      </c>
      <c r="F7" s="52">
        <f>'Form 990 data'!F7</f>
        <v/>
      </c>
      <c r="G7" s="52">
        <f>'Form 990 data'!G7</f>
        <v/>
      </c>
    </row>
    <row r="8">
      <c r="A8" s="51" t="inlineStr">
        <is>
          <t>Investment and other income</t>
        </is>
      </c>
      <c r="B8" s="52">
        <f>'Form 990 data'!B8</f>
        <v/>
      </c>
      <c r="C8" s="52">
        <f>'Form 990 data'!C8</f>
        <v/>
      </c>
      <c r="D8" s="52">
        <f>'Form 990 data'!D8</f>
        <v/>
      </c>
      <c r="E8" s="52">
        <f>'Form 990 data'!E8</f>
        <v/>
      </c>
      <c r="F8" s="52">
        <f>'Form 990 data'!F8</f>
        <v/>
      </c>
      <c r="G8" s="52">
        <f>'Form 990 data'!G8</f>
        <v/>
      </c>
    </row>
    <row r="9" ht="24" customHeight="1">
      <c r="A9" s="51" t="inlineStr">
        <is>
          <t>Less: fundraising event costs and asset-sale losses</t>
        </is>
      </c>
      <c r="B9" s="52">
        <f>'Form 990 data'!B9</f>
        <v/>
      </c>
      <c r="C9" s="52">
        <f>'Form 990 data'!C9</f>
        <v/>
      </c>
      <c r="D9" s="52">
        <f>'Form 990 data'!D9</f>
        <v/>
      </c>
      <c r="E9" s="52">
        <f>'Form 990 data'!E9</f>
        <v/>
      </c>
      <c r="F9" s="52">
        <f>'Form 990 data'!F9</f>
        <v/>
      </c>
      <c r="G9" s="52">
        <f>'Form 990 data'!G9</f>
        <v/>
      </c>
      <c r="H9" s="29" t="inlineStr">
        <is>
          <t>DERIVED</t>
        </is>
      </c>
      <c r="I9" s="28" t="inlineStr">
        <is>
          <t>Form 990 states total revenue net of these. Without this line the revenue total would not tie to the filing.</t>
        </is>
      </c>
    </row>
    <row r="10">
      <c r="A10" s="12" t="inlineStr">
        <is>
          <t>Total revenue</t>
        </is>
      </c>
      <c r="B10" s="33">
        <f>SUM(B6:B9)</f>
        <v/>
      </c>
      <c r="C10" s="33">
        <f>SUM(C6:C9)</f>
        <v/>
      </c>
      <c r="D10" s="33">
        <f>SUM(D6:D9)</f>
        <v/>
      </c>
      <c r="E10" s="33">
        <f>SUM(E6:E9)</f>
        <v/>
      </c>
      <c r="F10" s="33">
        <f>SUM(F6:F9)</f>
        <v/>
      </c>
      <c r="G10" s="33">
        <f>SUM(G6:G9)</f>
        <v/>
      </c>
    </row>
    <row r="11">
      <c r="A11" s="53" t="inlineStr">
        <is>
          <t>Check: ties to filed total revenue</t>
        </is>
      </c>
      <c r="B11" s="54">
        <f>IF(ABS(B10-'Form 990 data'!B10)&lt;1,"ok","CHECK")</f>
        <v/>
      </c>
      <c r="C11" s="54">
        <f>IF(ABS(C10-'Form 990 data'!C10)&lt;1,"ok","CHECK")</f>
        <v/>
      </c>
      <c r="D11" s="54">
        <f>IF(ABS(D10-'Form 990 data'!D10)&lt;1,"ok","CHECK")</f>
        <v/>
      </c>
      <c r="E11" s="54">
        <f>IF(ABS(E10-'Form 990 data'!E10)&lt;1,"ok","CHECK")</f>
        <v/>
      </c>
      <c r="F11" s="54">
        <f>IF(ABS(F10-'Form 990 data'!F10)&lt;1,"ok","CHECK")</f>
        <v/>
      </c>
      <c r="G11" s="54">
        <f>IF(ABS(G10-'Form 990 data'!G10)&lt;1,"ok","CHECK")</f>
        <v/>
      </c>
    </row>
    <row r="13" ht="24" customHeight="1">
      <c r="A13" s="51" t="inlineStr">
        <is>
          <t>Program services</t>
        </is>
      </c>
      <c r="B13" s="52">
        <f>'Form 990 data'!B17*'Model inputs'!B6</f>
        <v/>
      </c>
      <c r="C13" s="52">
        <f>'Form 990 data'!C17*'Model inputs'!C6</f>
        <v/>
      </c>
      <c r="D13" s="52">
        <f>'Form 990 data'!D17*'Model inputs'!D6</f>
        <v/>
      </c>
      <c r="E13" s="52">
        <f>'Form 990 data'!E17*'Model inputs'!E6</f>
        <v/>
      </c>
      <c r="F13" s="52">
        <f>'Form 990 data'!F17*'Model inputs'!F6</f>
        <v/>
      </c>
      <c r="G13" s="52">
        <f>'Form 990 data'!G17*'Model inputs'!G6</f>
        <v/>
      </c>
      <c r="H13" s="39" t="inlineStr">
        <is>
          <t>SYNTHETIC</t>
        </is>
      </c>
      <c r="I13" s="28" t="inlineStr">
        <is>
          <t>Filed total expense multiplied by the modelled program share.</t>
        </is>
      </c>
    </row>
    <row r="14">
      <c r="A14" s="51" t="inlineStr">
        <is>
          <t>Management and general</t>
        </is>
      </c>
      <c r="B14" s="52">
        <f>'Form 990 data'!B17*'Model inputs'!B7</f>
        <v/>
      </c>
      <c r="C14" s="52">
        <f>'Form 990 data'!C17*'Model inputs'!C7</f>
        <v/>
      </c>
      <c r="D14" s="52">
        <f>'Form 990 data'!D17*'Model inputs'!D7</f>
        <v/>
      </c>
      <c r="E14" s="52">
        <f>'Form 990 data'!E17*'Model inputs'!E7</f>
        <v/>
      </c>
      <c r="F14" s="52">
        <f>'Form 990 data'!F17*'Model inputs'!F7</f>
        <v/>
      </c>
      <c r="G14" s="52">
        <f>'Form 990 data'!G17*'Model inputs'!G7</f>
        <v/>
      </c>
      <c r="H14" s="39" t="inlineStr">
        <is>
          <t>SYNTHETIC</t>
        </is>
      </c>
    </row>
    <row r="15">
      <c r="A15" s="51" t="inlineStr">
        <is>
          <t>Fundraising</t>
        </is>
      </c>
      <c r="B15" s="52">
        <f>'Form 990 data'!B17*'Model inputs'!B8</f>
        <v/>
      </c>
      <c r="C15" s="52">
        <f>'Form 990 data'!C17*'Model inputs'!C8</f>
        <v/>
      </c>
      <c r="D15" s="52">
        <f>'Form 990 data'!D17*'Model inputs'!D8</f>
        <v/>
      </c>
      <c r="E15" s="52">
        <f>'Form 990 data'!E17*'Model inputs'!E8</f>
        <v/>
      </c>
      <c r="F15" s="52">
        <f>'Form 990 data'!F17*'Model inputs'!F8</f>
        <v/>
      </c>
      <c r="G15" s="52">
        <f>'Form 990 data'!G17*'Model inputs'!G8</f>
        <v/>
      </c>
      <c r="H15" s="39" t="inlineStr">
        <is>
          <t>SYNTHETIC</t>
        </is>
      </c>
    </row>
    <row r="16">
      <c r="A16" s="12" t="inlineStr">
        <is>
          <t>Total expenses</t>
        </is>
      </c>
      <c r="B16" s="33">
        <f>SUM(B13:B15)</f>
        <v/>
      </c>
      <c r="C16" s="33">
        <f>SUM(C13:C15)</f>
        <v/>
      </c>
      <c r="D16" s="33">
        <f>SUM(D13:D15)</f>
        <v/>
      </c>
      <c r="E16" s="33">
        <f>SUM(E13:E15)</f>
        <v/>
      </c>
      <c r="F16" s="33">
        <f>SUM(F13:F15)</f>
        <v/>
      </c>
      <c r="G16" s="33">
        <f>SUM(G13:G15)</f>
        <v/>
      </c>
    </row>
    <row r="17">
      <c r="A17" s="53" t="inlineStr">
        <is>
          <t>Check: ties to filed total expenses</t>
        </is>
      </c>
      <c r="B17" s="54">
        <f>IF(ABS(B16-'Form 990 data'!B17)&lt;1,"ok","CHECK")</f>
        <v/>
      </c>
      <c r="C17" s="54">
        <f>IF(ABS(C16-'Form 990 data'!C17)&lt;1,"ok","CHECK")</f>
        <v/>
      </c>
      <c r="D17" s="54">
        <f>IF(ABS(D16-'Form 990 data'!D17)&lt;1,"ok","CHECK")</f>
        <v/>
      </c>
      <c r="E17" s="54">
        <f>IF(ABS(E16-'Form 990 data'!E17)&lt;1,"ok","CHECK")</f>
        <v/>
      </c>
      <c r="F17" s="54">
        <f>IF(ABS(F16-'Form 990 data'!F17)&lt;1,"ok","CHECK")</f>
        <v/>
      </c>
      <c r="G17" s="54">
        <f>IF(ABS(G16-'Form 990 data'!G17)&lt;1,"ok","CHECK")</f>
        <v/>
      </c>
    </row>
    <row r="19">
      <c r="A19" s="12" t="inlineStr">
        <is>
          <t>Operating surplus / (deficit)</t>
        </is>
      </c>
      <c r="B19" s="33">
        <f>B10-B16</f>
        <v/>
      </c>
      <c r="C19" s="33">
        <f>C10-C16</f>
        <v/>
      </c>
      <c r="D19" s="33">
        <f>D10-D16</f>
        <v/>
      </c>
      <c r="E19" s="33">
        <f>E10-E16</f>
        <v/>
      </c>
      <c r="F19" s="33">
        <f>F10-F16</f>
        <v/>
      </c>
      <c r="G19" s="33">
        <f>G10-G16</f>
        <v/>
      </c>
    </row>
    <row r="20">
      <c r="A20" s="51" t="inlineStr">
        <is>
          <t>Operating margin</t>
        </is>
      </c>
      <c r="B20" s="55">
        <f>B19/B10</f>
        <v/>
      </c>
      <c r="C20" s="55">
        <f>C19/C10</f>
        <v/>
      </c>
      <c r="D20" s="55">
        <f>D19/D10</f>
        <v/>
      </c>
      <c r="E20" s="55">
        <f>E19/E10</f>
        <v/>
      </c>
      <c r="F20" s="55">
        <f>F19/F10</f>
        <v/>
      </c>
      <c r="G20" s="55">
        <f>G19/G10</f>
        <v/>
      </c>
    </row>
    <row r="22" ht="18" customHeight="1">
      <c r="A22" s="10" t="inlineStr">
        <is>
          <t>Natural classification (memo)</t>
        </is>
      </c>
      <c r="B22" s="11" t="n"/>
      <c r="C22" s="11" t="n"/>
      <c r="D22" s="11" t="n"/>
      <c r="E22" s="11" t="n"/>
      <c r="F22" s="11" t="n"/>
      <c r="G22" s="11" t="n"/>
      <c r="H22" s="11" t="n"/>
      <c r="I22" s="11" t="n"/>
    </row>
    <row r="23">
      <c r="A23" s="51" t="inlineStr">
        <is>
          <t>Salaries and officer compensation</t>
        </is>
      </c>
      <c r="B23" s="52">
        <f>'Form 990 data'!B14+'Form 990 data'!B15</f>
        <v/>
      </c>
      <c r="C23" s="52">
        <f>'Form 990 data'!C14+'Form 990 data'!C15</f>
        <v/>
      </c>
      <c r="D23" s="52">
        <f>'Form 990 data'!D14+'Form 990 data'!D15</f>
        <v/>
      </c>
      <c r="E23" s="52">
        <f>'Form 990 data'!E14+'Form 990 data'!E15</f>
        <v/>
      </c>
      <c r="F23" s="52">
        <f>'Form 990 data'!F14+'Form 990 data'!F15</f>
        <v/>
      </c>
      <c r="G23" s="52">
        <f>'Form 990 data'!G14+'Form 990 data'!G15</f>
        <v/>
      </c>
    </row>
    <row r="24">
      <c r="A24" s="51" t="inlineStr">
        <is>
          <t>Payroll taxes</t>
        </is>
      </c>
      <c r="B24" s="52">
        <f>'Form 990 data'!B16</f>
        <v/>
      </c>
      <c r="C24" s="52">
        <f>'Form 990 data'!C16</f>
        <v/>
      </c>
      <c r="D24" s="52">
        <f>'Form 990 data'!D16</f>
        <v/>
      </c>
      <c r="E24" s="52">
        <f>'Form 990 data'!E16</f>
        <v/>
      </c>
      <c r="F24" s="52">
        <f>'Form 990 data'!F16</f>
        <v/>
      </c>
      <c r="G24" s="52">
        <f>'Form 990 data'!G16</f>
        <v/>
      </c>
    </row>
    <row r="25" ht="24" customHeight="1">
      <c r="A25" s="51" t="inlineStr">
        <is>
          <t>Benefits</t>
        </is>
      </c>
      <c r="B25" s="52">
        <f>B23*'Model inputs'!$B$45</f>
        <v/>
      </c>
      <c r="C25" s="52">
        <f>C23*'Model inputs'!$B$45</f>
        <v/>
      </c>
      <c r="D25" s="52">
        <f>D23*'Model inputs'!$B$45</f>
        <v/>
      </c>
      <c r="E25" s="52">
        <f>E23*'Model inputs'!$B$45</f>
        <v/>
      </c>
      <c r="F25" s="52">
        <f>F23*'Model inputs'!$B$45</f>
        <v/>
      </c>
      <c r="G25" s="52">
        <f>G23*'Model inputs'!$B$45</f>
        <v/>
      </c>
      <c r="H25" s="39" t="inlineStr">
        <is>
          <t>SYNTHETIC</t>
        </is>
      </c>
      <c r="I25" s="28" t="inlineStr">
        <is>
          <t>Assumed load; not separately reported in the extract used here.</t>
        </is>
      </c>
    </row>
    <row r="26">
      <c r="A26" s="12" t="inlineStr">
        <is>
          <t>Total personnel</t>
        </is>
      </c>
      <c r="B26" s="33">
        <f>SUM(B23:B25)</f>
        <v/>
      </c>
      <c r="C26" s="33">
        <f>SUM(C23:C25)</f>
        <v/>
      </c>
      <c r="D26" s="33">
        <f>SUM(D23:D25)</f>
        <v/>
      </c>
      <c r="E26" s="33">
        <f>SUM(E23:E25)</f>
        <v/>
      </c>
      <c r="F26" s="33">
        <f>SUM(F23:F25)</f>
        <v/>
      </c>
      <c r="G26" s="33">
        <f>SUM(G23:G25)</f>
        <v/>
      </c>
    </row>
    <row r="27">
      <c r="A27" s="51" t="inlineStr">
        <is>
          <t>Non-personnel expenses</t>
        </is>
      </c>
      <c r="B27" s="52">
        <f>B16-B26</f>
        <v/>
      </c>
      <c r="C27" s="52">
        <f>C16-C26</f>
        <v/>
      </c>
      <c r="D27" s="52">
        <f>D16-D26</f>
        <v/>
      </c>
      <c r="E27" s="52">
        <f>E16-E26</f>
        <v/>
      </c>
      <c r="F27" s="52">
        <f>F16-F26</f>
        <v/>
      </c>
      <c r="G27" s="52">
        <f>G16-G26</f>
        <v/>
      </c>
    </row>
    <row r="28">
      <c r="A28" s="51" t="inlineStr">
        <is>
          <t>Personnel as a share of expenses</t>
        </is>
      </c>
      <c r="B28" s="55">
        <f>B26/B16</f>
        <v/>
      </c>
      <c r="C28" s="55">
        <f>C26/C16</f>
        <v/>
      </c>
      <c r="D28" s="55">
        <f>D26/D16</f>
        <v/>
      </c>
      <c r="E28" s="55">
        <f>E26/E16</f>
        <v/>
      </c>
      <c r="F28" s="55">
        <f>F26/F16</f>
        <v/>
      </c>
      <c r="G28" s="55">
        <f>G26/G16</f>
        <v/>
      </c>
    </row>
    <row r="30" ht="18" customHeight="1">
      <c r="A30" s="10" t="inlineStr">
        <is>
          <t>Financial position</t>
        </is>
      </c>
      <c r="B30" s="11" t="n"/>
      <c r="C30" s="11" t="n"/>
      <c r="D30" s="11" t="n"/>
      <c r="E30" s="11" t="n"/>
      <c r="F30" s="11" t="n"/>
      <c r="G30" s="11" t="n"/>
      <c r="H30" s="11" t="n"/>
      <c r="I30" s="11" t="n"/>
    </row>
    <row r="31">
      <c r="A31" s="51" t="inlineStr">
        <is>
          <t>Total assets</t>
        </is>
      </c>
      <c r="B31" s="52">
        <f>'Form 990 data'!B20</f>
        <v/>
      </c>
      <c r="C31" s="52">
        <f>'Form 990 data'!C20</f>
        <v/>
      </c>
      <c r="D31" s="52">
        <f>'Form 990 data'!D20</f>
        <v/>
      </c>
      <c r="E31" s="52">
        <f>'Form 990 data'!E20</f>
        <v/>
      </c>
      <c r="F31" s="52">
        <f>'Form 990 data'!F20</f>
        <v/>
      </c>
      <c r="G31" s="52">
        <f>'Form 990 data'!G20</f>
        <v/>
      </c>
    </row>
    <row r="32">
      <c r="A32" s="51" t="inlineStr">
        <is>
          <t>Total liabilities</t>
        </is>
      </c>
      <c r="B32" s="52">
        <f>'Form 990 data'!B21</f>
        <v/>
      </c>
      <c r="C32" s="52">
        <f>'Form 990 data'!C21</f>
        <v/>
      </c>
      <c r="D32" s="52">
        <f>'Form 990 data'!D21</f>
        <v/>
      </c>
      <c r="E32" s="52">
        <f>'Form 990 data'!E21</f>
        <v/>
      </c>
      <c r="F32" s="52">
        <f>'Form 990 data'!F21</f>
        <v/>
      </c>
      <c r="G32" s="52">
        <f>'Form 990 data'!G21</f>
        <v/>
      </c>
    </row>
    <row r="33">
      <c r="A33" s="12" t="inlineStr">
        <is>
          <t>Net assets</t>
        </is>
      </c>
      <c r="B33" s="33">
        <f>B31-B32</f>
        <v/>
      </c>
      <c r="C33" s="33">
        <f>C31-C32</f>
        <v/>
      </c>
      <c r="D33" s="33">
        <f>D31-D32</f>
        <v/>
      </c>
      <c r="E33" s="33">
        <f>E31-E32</f>
        <v/>
      </c>
      <c r="F33" s="33">
        <f>F31-F32</f>
        <v/>
      </c>
      <c r="G33" s="33">
        <f>G31-G32</f>
        <v/>
      </c>
    </row>
    <row r="34">
      <c r="A34" s="51" t="inlineStr">
        <is>
          <t>Cash and equivalents</t>
        </is>
      </c>
      <c r="B34" s="52">
        <f>B31*'Model inputs'!B12</f>
        <v/>
      </c>
      <c r="C34" s="52">
        <f>C31*'Model inputs'!C12</f>
        <v/>
      </c>
      <c r="D34" s="52">
        <f>D31*'Model inputs'!D12</f>
        <v/>
      </c>
      <c r="E34" s="52">
        <f>E31*'Model inputs'!E12</f>
        <v/>
      </c>
      <c r="F34" s="52">
        <f>F31*'Model inputs'!F12</f>
        <v/>
      </c>
      <c r="G34" s="52">
        <f>G31*'Model inputs'!G12</f>
        <v/>
      </c>
      <c r="H34" s="39" t="inlineStr">
        <is>
          <t>SYNTHETIC</t>
        </is>
      </c>
    </row>
    <row r="35" ht="24" customHeight="1">
      <c r="A35" s="51" t="inlineStr">
        <is>
          <t>Liquid reserves (cash plus short-term investments)</t>
        </is>
      </c>
      <c r="B35" s="52">
        <f>B31*'Model inputs'!B13</f>
        <v/>
      </c>
      <c r="C35" s="52">
        <f>C31*'Model inputs'!C13</f>
        <v/>
      </c>
      <c r="D35" s="52">
        <f>D31*'Model inputs'!D13</f>
        <v/>
      </c>
      <c r="E35" s="52">
        <f>E31*'Model inputs'!E13</f>
        <v/>
      </c>
      <c r="F35" s="52">
        <f>F31*'Model inputs'!F13</f>
        <v/>
      </c>
      <c r="G35" s="52">
        <f>G31*'Model inputs'!G13</f>
        <v/>
      </c>
      <c r="H35" s="39" t="inlineStr">
        <is>
          <t>SYNTHETIC</t>
        </is>
      </c>
      <c r="I35" s="28" t="inlineStr">
        <is>
          <t>The measure a board treats as available. Roughly a year more runway than cash alone.</t>
        </is>
      </c>
    </row>
    <row r="37" ht="18" customHeight="1">
      <c r="A37" s="10" t="inlineStr">
        <is>
          <t>Growth</t>
        </is>
      </c>
      <c r="B37" s="11" t="n"/>
      <c r="C37" s="11" t="n"/>
      <c r="D37" s="11" t="n"/>
      <c r="E37" s="11" t="n"/>
      <c r="F37" s="11" t="n"/>
      <c r="G37" s="11" t="n"/>
      <c r="H37" s="11" t="n"/>
      <c r="I37" s="11" t="n"/>
    </row>
    <row r="38">
      <c r="A38" s="51" t="inlineStr">
        <is>
          <t>Revenue growth</t>
        </is>
      </c>
      <c r="B38" s="56" t="inlineStr">
        <is>
          <t>n/a</t>
        </is>
      </c>
      <c r="C38" s="55">
        <f>C10/B10-1</f>
        <v/>
      </c>
      <c r="D38" s="55">
        <f>D10/C10-1</f>
        <v/>
      </c>
      <c r="E38" s="55">
        <f>E10/D10-1</f>
        <v/>
      </c>
      <c r="F38" s="55">
        <f>F10/E10-1</f>
        <v/>
      </c>
      <c r="G38" s="55">
        <f>G10/F10-1</f>
        <v/>
      </c>
    </row>
    <row r="39">
      <c r="A39" s="51" t="inlineStr">
        <is>
          <t>Expense growth</t>
        </is>
      </c>
      <c r="B39" s="56" t="inlineStr">
        <is>
          <t>n/a</t>
        </is>
      </c>
      <c r="C39" s="55">
        <f>C16/B16-1</f>
        <v/>
      </c>
      <c r="D39" s="55">
        <f>D16/C16-1</f>
        <v/>
      </c>
      <c r="E39" s="55">
        <f>E16/D16-1</f>
        <v/>
      </c>
      <c r="F39" s="55">
        <f>F16/E16-1</f>
        <v/>
      </c>
      <c r="G39" s="55">
        <f>G16/F16-1</f>
        <v/>
      </c>
    </row>
    <row r="40">
      <c r="A40" s="51" t="inlineStr">
        <is>
          <t>Contribution growth</t>
        </is>
      </c>
      <c r="B40" s="56" t="inlineStr">
        <is>
          <t>n/a</t>
        </is>
      </c>
      <c r="C40" s="55">
        <f>C6/B6-1</f>
        <v/>
      </c>
      <c r="D40" s="55">
        <f>D6/C6-1</f>
        <v/>
      </c>
      <c r="E40" s="55">
        <f>E6/D6-1</f>
        <v/>
      </c>
      <c r="F40" s="55">
        <f>F6/E6-1</f>
        <v/>
      </c>
      <c r="G40" s="55">
        <f>G6/F6-1</f>
        <v/>
      </c>
    </row>
    <row r="41" ht="24" customHeight="1">
      <c r="A41" s="51" t="inlineStr">
        <is>
          <t>Growth gap (revenue less expense)</t>
        </is>
      </c>
      <c r="B41" s="56" t="inlineStr">
        <is>
          <t>n/a</t>
        </is>
      </c>
      <c r="C41" s="55">
        <f>C38-C39</f>
        <v/>
      </c>
      <c r="D41" s="55">
        <f>D38-D39</f>
        <v/>
      </c>
      <c r="E41" s="55">
        <f>E38-E39</f>
        <v/>
      </c>
      <c r="F41" s="55">
        <f>F38-F39</f>
        <v/>
      </c>
      <c r="G41" s="55">
        <f>G38-G39</f>
        <v/>
      </c>
      <c r="I41" s="28" t="inlineStr">
        <is>
          <t>Positive means revenue outran spending - the pattern that built the reserve.</t>
        </is>
      </c>
    </row>
    <row r="43" ht="18" customHeight="1">
      <c r="A43" s="10" t="inlineStr">
        <is>
          <t>Efficiency and stewardship ratios</t>
        </is>
      </c>
      <c r="B43" s="11" t="n"/>
      <c r="C43" s="11" t="n"/>
      <c r="D43" s="11" t="n"/>
      <c r="E43" s="11" t="n"/>
      <c r="F43" s="11" t="n"/>
      <c r="G43" s="11" t="n"/>
      <c r="H43" s="11" t="n"/>
      <c r="I43" s="11" t="n"/>
    </row>
    <row r="44" ht="24" customHeight="1">
      <c r="A44" s="51" t="inlineStr">
        <is>
          <t>Program expense ratio</t>
        </is>
      </c>
      <c r="B44" s="55">
        <f>B13/B16</f>
        <v/>
      </c>
      <c r="C44" s="55">
        <f>C13/C16</f>
        <v/>
      </c>
      <c r="D44" s="55">
        <f>D13/D16</f>
        <v/>
      </c>
      <c r="E44" s="55">
        <f>E13/E16</f>
        <v/>
      </c>
      <c r="F44" s="55">
        <f>F13/F16</f>
        <v/>
      </c>
      <c r="G44" s="55">
        <f>G13/G16</f>
        <v/>
      </c>
      <c r="I44" s="28" t="inlineStr">
        <is>
          <t>BBB Standard 8 requires at least 65%.</t>
        </is>
      </c>
    </row>
    <row r="45">
      <c r="A45" s="53" t="inlineStr">
        <is>
          <t xml:space="preserve">  vs BBB minimum (65%)</t>
        </is>
      </c>
      <c r="B45" s="55">
        <f>B44-'Model inputs'!$B$67</f>
        <v/>
      </c>
      <c r="C45" s="55">
        <f>C44-'Model inputs'!$B$67</f>
        <v/>
      </c>
      <c r="D45" s="55">
        <f>D44-'Model inputs'!$B$67</f>
        <v/>
      </c>
      <c r="E45" s="55">
        <f>E44-'Model inputs'!$B$67</f>
        <v/>
      </c>
      <c r="F45" s="55">
        <f>F44-'Model inputs'!$B$67</f>
        <v/>
      </c>
      <c r="G45" s="55">
        <f>G44-'Model inputs'!$B$67</f>
        <v/>
      </c>
    </row>
    <row r="46">
      <c r="A46" s="51" t="inlineStr">
        <is>
          <t>Administrative cost ratio</t>
        </is>
      </c>
      <c r="B46" s="55">
        <f>B14/B16</f>
        <v/>
      </c>
      <c r="C46" s="55">
        <f>C14/C16</f>
        <v/>
      </c>
      <c r="D46" s="55">
        <f>D14/D16</f>
        <v/>
      </c>
      <c r="E46" s="55">
        <f>E14/E16</f>
        <v/>
      </c>
      <c r="F46" s="55">
        <f>F14/F16</f>
        <v/>
      </c>
      <c r="G46" s="55">
        <f>G14/G16</f>
        <v/>
      </c>
    </row>
    <row r="47" ht="24" customHeight="1">
      <c r="A47" s="51" t="inlineStr">
        <is>
          <t>Fundraising cost ratio (cost to raise $1)</t>
        </is>
      </c>
      <c r="B47" s="57">
        <f>B15/B6</f>
        <v/>
      </c>
      <c r="C47" s="57">
        <f>C15/C6</f>
        <v/>
      </c>
      <c r="D47" s="57">
        <f>D15/D6</f>
        <v/>
      </c>
      <c r="E47" s="57">
        <f>E15/E6</f>
        <v/>
      </c>
      <c r="F47" s="57">
        <f>F15/F6</f>
        <v/>
      </c>
      <c r="G47" s="57">
        <f>G15/G6</f>
        <v/>
      </c>
      <c r="I47" s="28" t="inlineStr">
        <is>
          <t>BBB Standard 9 caps this at 35 cents. Anything under 10 cents is strong.</t>
        </is>
      </c>
    </row>
    <row r="48">
      <c r="A48" s="51" t="inlineStr">
        <is>
          <t>Fundraising return (contributions per $1 spent)</t>
        </is>
      </c>
      <c r="B48" s="58">
        <f>B6/B15</f>
        <v/>
      </c>
      <c r="C48" s="58">
        <f>C6/C15</f>
        <v/>
      </c>
      <c r="D48" s="58">
        <f>D6/D15</f>
        <v/>
      </c>
      <c r="E48" s="58">
        <f>E6/E15</f>
        <v/>
      </c>
      <c r="F48" s="58">
        <f>F6/F15</f>
        <v/>
      </c>
      <c r="G48" s="58">
        <f>G6/G15</f>
        <v/>
      </c>
    </row>
    <row r="50" ht="18" customHeight="1">
      <c r="A50" s="10" t="inlineStr">
        <is>
          <t>Liquidity and reserves</t>
        </is>
      </c>
      <c r="B50" s="11" t="n"/>
      <c r="C50" s="11" t="n"/>
      <c r="D50" s="11" t="n"/>
      <c r="E50" s="11" t="n"/>
      <c r="F50" s="11" t="n"/>
      <c r="G50" s="11" t="n"/>
      <c r="H50" s="11" t="n"/>
      <c r="I50" s="11" t="n"/>
    </row>
    <row r="51">
      <c r="A51" s="51" t="inlineStr">
        <is>
          <t>Average monthly expenses</t>
        </is>
      </c>
      <c r="B51" s="52">
        <f>B16/12</f>
        <v/>
      </c>
      <c r="C51" s="52">
        <f>C16/12</f>
        <v/>
      </c>
      <c r="D51" s="52">
        <f>D16/12</f>
        <v/>
      </c>
      <c r="E51" s="52">
        <f>E16/12</f>
        <v/>
      </c>
      <c r="F51" s="52">
        <f>F16/12</f>
        <v/>
      </c>
      <c r="G51" s="52">
        <f>G16/12</f>
        <v/>
      </c>
    </row>
    <row r="52" ht="24" customHeight="1">
      <c r="A52" s="51" t="inlineStr">
        <is>
          <t>Cash runway</t>
        </is>
      </c>
      <c r="B52" s="59">
        <f>B34/B51</f>
        <v/>
      </c>
      <c r="C52" s="59">
        <f>C34/C51</f>
        <v/>
      </c>
      <c r="D52" s="59">
        <f>D34/D51</f>
        <v/>
      </c>
      <c r="E52" s="59">
        <f>E34/E51</f>
        <v/>
      </c>
      <c r="F52" s="59">
        <f>F34/F51</f>
        <v/>
      </c>
      <c r="G52" s="59">
        <f>G34/G51</f>
        <v/>
      </c>
      <c r="I52" s="28" t="inlineStr">
        <is>
          <t>Strict measure: cash and equivalents only.</t>
        </is>
      </c>
    </row>
    <row r="53" ht="24" customHeight="1">
      <c r="A53" s="51" t="inlineStr">
        <is>
          <t>Liquid reserve runway</t>
        </is>
      </c>
      <c r="B53" s="59">
        <f>B35/B51</f>
        <v/>
      </c>
      <c r="C53" s="59">
        <f>C35/C51</f>
        <v/>
      </c>
      <c r="D53" s="59">
        <f>D35/D51</f>
        <v/>
      </c>
      <c r="E53" s="59">
        <f>E35/E51</f>
        <v/>
      </c>
      <c r="F53" s="59">
        <f>F35/F51</f>
        <v/>
      </c>
      <c r="G53" s="59">
        <f>G35/G51</f>
        <v/>
      </c>
      <c r="I53" s="28" t="inlineStr">
        <is>
          <t>Cash plus short-term investments. This is the number the board would use.</t>
        </is>
      </c>
    </row>
    <row r="54">
      <c r="A54" s="51" t="inlineStr">
        <is>
          <t>Net assets, months of expenses</t>
        </is>
      </c>
      <c r="B54" s="59">
        <f>B33/B51</f>
        <v/>
      </c>
      <c r="C54" s="59">
        <f>C33/C51</f>
        <v/>
      </c>
      <c r="D54" s="59">
        <f>D33/D51</f>
        <v/>
      </c>
      <c r="E54" s="59">
        <f>E33/E51</f>
        <v/>
      </c>
      <c r="F54" s="59">
        <f>F33/F51</f>
        <v/>
      </c>
      <c r="G54" s="59">
        <f>G33/G51</f>
        <v/>
      </c>
    </row>
    <row r="55" ht="24" customHeight="1">
      <c r="A55" s="51" t="inlineStr">
        <is>
          <t>Net assets, multiple of annual expenses</t>
        </is>
      </c>
      <c r="B55" s="58">
        <f>B33/B16</f>
        <v/>
      </c>
      <c r="C55" s="58">
        <f>C33/C16</f>
        <v/>
      </c>
      <c r="D55" s="58">
        <f>D33/D16</f>
        <v/>
      </c>
      <c r="E55" s="58">
        <f>E33/E16</f>
        <v/>
      </c>
      <c r="F55" s="58">
        <f>F33/F16</f>
        <v/>
      </c>
      <c r="G55" s="58">
        <f>G33/G16</f>
        <v/>
      </c>
      <c r="I55" s="28" t="inlineStr">
        <is>
          <t>BBB Standard 10 caps this at three times. Watch the trend, not just the level.</t>
        </is>
      </c>
    </row>
    <row r="56">
      <c r="A56" s="53" t="inlineStr">
        <is>
          <t xml:space="preserve">  headroom to the BBB 3x limit</t>
        </is>
      </c>
      <c r="B56" s="58">
        <f>'Model inputs'!$B$69-B55</f>
        <v/>
      </c>
      <c r="C56" s="58">
        <f>'Model inputs'!$B$69-C55</f>
        <v/>
      </c>
      <c r="D56" s="58">
        <f>'Model inputs'!$B$69-D55</f>
        <v/>
      </c>
      <c r="E56" s="58">
        <f>'Model inputs'!$B$69-E55</f>
        <v/>
      </c>
      <c r="F56" s="58">
        <f>'Model inputs'!$B$69-F55</f>
        <v/>
      </c>
      <c r="G56" s="58">
        <f>'Model inputs'!$B$69-G55</f>
        <v/>
      </c>
    </row>
    <row r="58" ht="18" customHeight="1">
      <c r="A58" s="10" t="inlineStr">
        <is>
          <t>Program economics</t>
        </is>
      </c>
      <c r="B58" s="11" t="n"/>
      <c r="C58" s="11" t="n"/>
      <c r="D58" s="11" t="n"/>
      <c r="E58" s="11" t="n"/>
      <c r="F58" s="11" t="n"/>
      <c r="G58" s="11" t="n"/>
      <c r="H58" s="11" t="n"/>
      <c r="I58" s="11" t="n"/>
    </row>
    <row r="59">
      <c r="A59" s="51" t="inlineStr">
        <is>
          <t>Participants served</t>
        </is>
      </c>
      <c r="B59" s="60">
        <f>'Form 990 data'!B26</f>
        <v/>
      </c>
      <c r="C59" s="60">
        <f>'Form 990 data'!C26</f>
        <v/>
      </c>
      <c r="D59" s="60">
        <f>'Form 990 data'!D26</f>
        <v/>
      </c>
      <c r="E59" s="60">
        <f>'Form 990 data'!E26</f>
        <v/>
      </c>
      <c r="F59" s="60">
        <f>'Form 990 data'!F26</f>
        <v/>
      </c>
      <c r="G59" s="60">
        <f>'Form 990 data'!G26</f>
        <v/>
      </c>
      <c r="H59" s="29" t="inlineStr">
        <is>
          <t>DERIVED</t>
        </is>
      </c>
    </row>
    <row r="60">
      <c r="A60" s="51" t="inlineStr">
        <is>
          <t>Successful outcomes</t>
        </is>
      </c>
      <c r="B60" s="60">
        <f>'Form 990 data'!B27</f>
        <v/>
      </c>
      <c r="C60" s="60">
        <f>'Form 990 data'!C27</f>
        <v/>
      </c>
      <c r="D60" s="60">
        <f>'Form 990 data'!D27</f>
        <v/>
      </c>
      <c r="E60" s="60">
        <f>'Form 990 data'!E27</f>
        <v/>
      </c>
      <c r="F60" s="60">
        <f>'Form 990 data'!F27</f>
        <v/>
      </c>
      <c r="G60" s="60">
        <f>'Form 990 data'!G27</f>
        <v/>
      </c>
      <c r="H60" s="29" t="inlineStr">
        <is>
          <t>DERIVED</t>
        </is>
      </c>
    </row>
    <row r="61">
      <c r="A61" s="51" t="inlineStr">
        <is>
          <t>Outcome rate</t>
        </is>
      </c>
      <c r="B61" s="55">
        <f>B60/B59</f>
        <v/>
      </c>
      <c r="C61" s="55">
        <f>C60/C59</f>
        <v/>
      </c>
      <c r="D61" s="55">
        <f>D60/D59</f>
        <v/>
      </c>
      <c r="E61" s="55">
        <f>E60/E59</f>
        <v/>
      </c>
      <c r="F61" s="55">
        <f>F60/F59</f>
        <v/>
      </c>
      <c r="G61" s="55">
        <f>G60/G59</f>
        <v/>
      </c>
    </row>
    <row r="62">
      <c r="A62" s="51" t="inlineStr">
        <is>
          <t>Cost per participant</t>
        </is>
      </c>
      <c r="B62" s="52">
        <f>B13/B59</f>
        <v/>
      </c>
      <c r="C62" s="52">
        <f>C13/C59</f>
        <v/>
      </c>
      <c r="D62" s="52">
        <f>D13/D59</f>
        <v/>
      </c>
      <c r="E62" s="52">
        <f>E13/E59</f>
        <v/>
      </c>
      <c r="F62" s="52">
        <f>F13/F59</f>
        <v/>
      </c>
      <c r="G62" s="52">
        <f>G13/G59</f>
        <v/>
      </c>
    </row>
    <row r="63">
      <c r="A63" s="51" t="inlineStr">
        <is>
          <t>Cost per successful outcome</t>
        </is>
      </c>
      <c r="B63" s="52">
        <f>B13/B60</f>
        <v/>
      </c>
      <c r="C63" s="52">
        <f>C13/C60</f>
        <v/>
      </c>
      <c r="D63" s="52">
        <f>D13/D60</f>
        <v/>
      </c>
      <c r="E63" s="52">
        <f>E13/E60</f>
        <v/>
      </c>
      <c r="F63" s="52">
        <f>F13/F60</f>
        <v/>
      </c>
      <c r="G63" s="52">
        <f>G13/G60</f>
        <v/>
      </c>
    </row>
    <row r="64" ht="24" customHeight="1">
      <c r="A64" s="51" t="inlineStr">
        <is>
          <t>Total revenue per participant</t>
        </is>
      </c>
      <c r="B64" s="52">
        <f>B10/B59</f>
        <v/>
      </c>
      <c r="C64" s="52">
        <f>C10/C59</f>
        <v/>
      </c>
      <c r="D64" s="52">
        <f>D10/D59</f>
        <v/>
      </c>
      <c r="E64" s="52">
        <f>E10/E59</f>
        <v/>
      </c>
      <c r="F64" s="52">
        <f>F10/F59</f>
        <v/>
      </c>
      <c r="G64" s="52">
        <f>G10/G59</f>
        <v/>
      </c>
      <c r="I64" s="28" t="inlineStr">
        <is>
          <t>Rising faster than cost per participant is the surge in one line.</t>
        </is>
      </c>
    </row>
    <row r="67" ht="18" customHeight="1">
      <c r="A67" s="10" t="inlineStr">
        <is>
          <t>Six-year summary</t>
        </is>
      </c>
      <c r="B67" s="11" t="n"/>
      <c r="C67" s="11" t="n"/>
      <c r="D67" s="11" t="n"/>
      <c r="E67" s="11" t="n"/>
      <c r="F67" s="11" t="n"/>
      <c r="G67" s="11" t="n"/>
      <c r="H67" s="11" t="n"/>
      <c r="I67" s="11" t="n"/>
    </row>
    <row r="68">
      <c r="A68" s="51" t="inlineStr">
        <is>
          <t>Revenue CAGR, FY2019 - FY2024</t>
        </is>
      </c>
      <c r="B68" s="61">
        <f>(G10/B10)^(1/5)-1</f>
        <v/>
      </c>
    </row>
    <row r="69">
      <c r="A69" s="51" t="inlineStr">
        <is>
          <t>Expense CAGR, FY2019 - FY2024</t>
        </is>
      </c>
      <c r="B69" s="61">
        <f>(G16/B16)^(1/5)-1</f>
        <v/>
      </c>
    </row>
    <row r="70">
      <c r="A70" s="51" t="inlineStr">
        <is>
          <t>Contribution CAGR, FY2019 - FY2024</t>
        </is>
      </c>
      <c r="B70" s="61">
        <f>(G6/B6)^(1/5)-1</f>
        <v/>
      </c>
    </row>
    <row r="71">
      <c r="A71" s="51" t="inlineStr">
        <is>
          <t>Net asset CAGR, FY2019 - FY2024</t>
        </is>
      </c>
      <c r="B71" s="61">
        <f>(G33/B33)^(1/5)-1</f>
        <v/>
      </c>
    </row>
    <row r="72">
      <c r="A72" s="51" t="inlineStr">
        <is>
          <t>Cumulative operating surplus</t>
        </is>
      </c>
      <c r="B72" s="62">
        <f>SUM(B19:G19)</f>
        <v/>
      </c>
    </row>
    <row r="73">
      <c r="A73" s="51" t="inlineStr">
        <is>
          <t>Years in surplus</t>
        </is>
      </c>
      <c r="B73" s="63">
        <f>COUNTIF(B19:G19,"&gt;0")</f>
        <v/>
      </c>
    </row>
    <row r="74">
      <c r="A74" s="51" t="inlineStr">
        <is>
          <t>Net assets added over the period</t>
        </is>
      </c>
      <c r="B74" s="62">
        <f>G33-B33</f>
        <v/>
      </c>
    </row>
    <row r="75">
      <c r="A75" s="51" t="inlineStr">
        <is>
          <t>Participants added over the period</t>
        </is>
      </c>
      <c r="B75" s="64">
        <f>G59-B59</f>
        <v/>
      </c>
    </row>
  </sheetData>
  <conditionalFormatting sqref="B44:G44">
    <cfRule type="cellIs" priority="1" operator="lessThan" dxfId="0">
      <formula>'Model inputs'!$B$67</formula>
    </cfRule>
  </conditionalFormatting>
  <conditionalFormatting sqref="B55:G55">
    <cfRule type="cellIs" priority="2" operator="greaterThan" dxfId="0">
      <formula>'Model inputs'!$B$69</formula>
    </cfRule>
  </conditionalFormatting>
  <conditionalFormatting sqref="B19:G19">
    <cfRule type="cellIs" priority="3" operator="lessThan" dxfId="0">
      <formula>0</formula>
    </cfRule>
  </conditionalFormatting>
  <pageMargins left="0.75" right="0.75" top="1" bottom="1" header="0.5" footer="0.5"/>
</worksheet>
</file>

<file path=xl/worksheets/sheet5.xml><?xml version="1.0" encoding="utf-8"?>
<worksheet xmlns="http://schemas.openxmlformats.org/spreadsheetml/2006/main">
  <sheetPr>
    <tabColor rgb="000B6E4F"/>
    <outlinePr summaryBelow="1" summaryRight="1"/>
    <pageSetUpPr/>
  </sheetPr>
  <dimension ref="A1:H7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6" customWidth="1" min="2" max="2"/>
    <col width="16" customWidth="1" min="3" max="3"/>
    <col width="16" customWidth="1" min="4" max="4"/>
    <col width="16" customWidth="1" min="5" max="5"/>
    <col width="4" customWidth="1" min="6" max="6"/>
    <col width="13" customWidth="1" min="7" max="7"/>
    <col width="60" customWidth="1" min="8" max="8"/>
  </cols>
  <sheetData>
    <row r="1" ht="24" customHeight="1">
      <c r="A1" s="1" t="inlineStr">
        <is>
          <t>Three-year forecast, FY2025 - FY2027 (Base case)</t>
        </is>
      </c>
    </row>
    <row r="2">
      <c r="A2" s="2" t="inlineStr">
        <is>
          <t>Driver based: donation revenue is donor count times average gift, and program cost is participants times cost per participant. Change a driver on 'Model inputs' and every number here moves. Scenarios live in 04_Scenario_Model.xlsx.</t>
        </is>
      </c>
    </row>
    <row r="3">
      <c r="A3" s="3" t="n"/>
      <c r="B3" s="3" t="n"/>
      <c r="C3" s="3" t="n"/>
      <c r="D3" s="3" t="n"/>
      <c r="E3" s="3" t="n"/>
      <c r="F3" s="3" t="n"/>
      <c r="G3" s="3" t="n"/>
      <c r="H3" s="3" t="n"/>
    </row>
    <row r="4" ht="30" customHeight="1">
      <c r="A4" s="23" t="inlineStr">
        <is>
          <t>Line</t>
        </is>
      </c>
      <c r="B4" s="24" t="inlineStr">
        <is>
          <t>FY2024 A</t>
        </is>
      </c>
      <c r="C4" s="24" t="inlineStr">
        <is>
          <t>FY2025 E</t>
        </is>
      </c>
      <c r="D4" s="24" t="inlineStr">
        <is>
          <t>FY2026 F</t>
        </is>
      </c>
      <c r="E4" s="24" t="inlineStr">
        <is>
          <t>FY2027 F</t>
        </is>
      </c>
      <c r="F4" s="24" t="inlineStr"/>
      <c r="G4" s="24" t="inlineStr"/>
      <c r="H4" s="24" t="inlineStr">
        <is>
          <t>Note</t>
        </is>
      </c>
    </row>
    <row r="5" ht="18" customHeight="1">
      <c r="A5" s="10" t="inlineStr">
        <is>
          <t>Revenue drivers</t>
        </is>
      </c>
      <c r="B5" s="11" t="n"/>
      <c r="C5" s="11" t="n"/>
      <c r="D5" s="11" t="n"/>
      <c r="E5" s="11" t="n"/>
      <c r="F5" s="11" t="n"/>
      <c r="G5" s="11" t="n"/>
      <c r="H5" s="11" t="n"/>
    </row>
    <row r="6">
      <c r="A6" s="53" t="inlineStr">
        <is>
          <t>Individual donations: donors</t>
        </is>
      </c>
      <c r="B6" s="65">
        <f>'Model inputs'!B25</f>
        <v/>
      </c>
      <c r="C6" s="60">
        <f>B6*(1+'Model inputs'!$B$55)/(1+'Model inputs'!$B$50)</f>
        <v/>
      </c>
      <c r="D6" s="60">
        <f>C6*(1+'Model inputs'!$B$55)/(1+'Model inputs'!$B$50)</f>
        <v/>
      </c>
      <c r="E6" s="60">
        <f>D6*(1+'Model inputs'!$B$55)/(1+'Model inputs'!$B$50)</f>
        <v/>
      </c>
    </row>
    <row r="7">
      <c r="A7" s="53" t="inlineStr">
        <is>
          <t>Individual donations: average gift</t>
        </is>
      </c>
      <c r="B7" s="66">
        <f>'Model inputs'!E25</f>
        <v/>
      </c>
      <c r="C7" s="67">
        <f>B7*(1+'Model inputs'!$B$50)</f>
        <v/>
      </c>
      <c r="D7" s="67">
        <f>C7*(1+'Model inputs'!$B$50)</f>
        <v/>
      </c>
      <c r="E7" s="67">
        <f>D7*(1+'Model inputs'!$B$50)</f>
        <v/>
      </c>
    </row>
    <row r="8">
      <c r="A8" s="53" t="inlineStr">
        <is>
          <t>Corporate donations: donors</t>
        </is>
      </c>
      <c r="B8" s="65">
        <f>'Model inputs'!B26</f>
        <v/>
      </c>
      <c r="C8" s="60">
        <f>B8*(1+'Model inputs'!$B$56)/(1+'Model inputs'!$B$50)</f>
        <v/>
      </c>
      <c r="D8" s="60">
        <f>C8*(1+'Model inputs'!$B$56)/(1+'Model inputs'!$B$50)</f>
        <v/>
      </c>
      <c r="E8" s="60">
        <f>D8*(1+'Model inputs'!$B$56)/(1+'Model inputs'!$B$50)</f>
        <v/>
      </c>
    </row>
    <row r="9">
      <c r="A9" s="53" t="inlineStr">
        <is>
          <t>Corporate donations: average gift</t>
        </is>
      </c>
      <c r="B9" s="66">
        <f>'Model inputs'!E26</f>
        <v/>
      </c>
      <c r="C9" s="67">
        <f>B9*(1+'Model inputs'!$B$50)</f>
        <v/>
      </c>
      <c r="D9" s="67">
        <f>C9*(1+'Model inputs'!$B$50)</f>
        <v/>
      </c>
      <c r="E9" s="67">
        <f>D9*(1+'Model inputs'!$B$50)</f>
        <v/>
      </c>
    </row>
    <row r="10">
      <c r="A10" s="53" t="inlineStr">
        <is>
          <t>Foundation grants: donors</t>
        </is>
      </c>
      <c r="B10" s="65">
        <f>'Model inputs'!B27</f>
        <v/>
      </c>
      <c r="C10" s="60">
        <f>B10*(1+'Model inputs'!$B$57)/(1+'Model inputs'!$B$50)</f>
        <v/>
      </c>
      <c r="D10" s="60">
        <f>C10*(1+'Model inputs'!$B$57)/(1+'Model inputs'!$B$50)</f>
        <v/>
      </c>
      <c r="E10" s="60">
        <f>D10*(1+'Model inputs'!$B$57)/(1+'Model inputs'!$B$50)</f>
        <v/>
      </c>
    </row>
    <row r="11">
      <c r="A11" s="53" t="inlineStr">
        <is>
          <t>Foundation grants: average gift</t>
        </is>
      </c>
      <c r="B11" s="66">
        <f>'Model inputs'!E27</f>
        <v/>
      </c>
      <c r="C11" s="67">
        <f>B11*(1+'Model inputs'!$B$50)</f>
        <v/>
      </c>
      <c r="D11" s="67">
        <f>C11*(1+'Model inputs'!$B$50)</f>
        <v/>
      </c>
      <c r="E11" s="67">
        <f>D11*(1+'Model inputs'!$B$50)</f>
        <v/>
      </c>
    </row>
    <row r="12">
      <c r="A12" s="53" t="inlineStr">
        <is>
          <t>Government funding: donors</t>
        </is>
      </c>
      <c r="B12" s="65">
        <f>'Model inputs'!B28</f>
        <v/>
      </c>
      <c r="C12" s="60">
        <f>B12*(1+'Model inputs'!$B$58)/(1+'Model inputs'!$B$50)</f>
        <v/>
      </c>
      <c r="D12" s="60">
        <f>C12*(1+'Model inputs'!$B$58)/(1+'Model inputs'!$B$50)</f>
        <v/>
      </c>
      <c r="E12" s="60">
        <f>D12*(1+'Model inputs'!$B$58)/(1+'Model inputs'!$B$50)</f>
        <v/>
      </c>
    </row>
    <row r="13">
      <c r="A13" s="53" t="inlineStr">
        <is>
          <t>Government funding: average gift</t>
        </is>
      </c>
      <c r="B13" s="66">
        <f>'Model inputs'!E28</f>
        <v/>
      </c>
      <c r="C13" s="67">
        <f>B13*(1+'Model inputs'!$B$50)</f>
        <v/>
      </c>
      <c r="D13" s="67">
        <f>C13*(1+'Model inputs'!$B$50)</f>
        <v/>
      </c>
      <c r="E13" s="67">
        <f>D13*(1+'Model inputs'!$B$50)</f>
        <v/>
      </c>
    </row>
    <row r="14">
      <c r="A14" s="53" t="inlineStr">
        <is>
          <t>Fundraising events: donors</t>
        </is>
      </c>
      <c r="B14" s="65">
        <f>'Model inputs'!B29</f>
        <v/>
      </c>
      <c r="C14" s="60">
        <f>B14*(1+'Model inputs'!$B$59)/(1+'Model inputs'!$B$50)</f>
        <v/>
      </c>
      <c r="D14" s="60">
        <f>C14*(1+'Model inputs'!$B$59)/(1+'Model inputs'!$B$50)</f>
        <v/>
      </c>
      <c r="E14" s="60">
        <f>D14*(1+'Model inputs'!$B$59)/(1+'Model inputs'!$B$50)</f>
        <v/>
      </c>
    </row>
    <row r="15">
      <c r="A15" s="53" t="inlineStr">
        <is>
          <t>Fundraising events: average gift</t>
        </is>
      </c>
      <c r="B15" s="66">
        <f>'Model inputs'!E29</f>
        <v/>
      </c>
      <c r="C15" s="67">
        <f>B15*(1+'Model inputs'!$B$50)</f>
        <v/>
      </c>
      <c r="D15" s="67">
        <f>C15*(1+'Model inputs'!$B$50)</f>
        <v/>
      </c>
      <c r="E15" s="67">
        <f>D15*(1+'Model inputs'!$B$50)</f>
        <v/>
      </c>
    </row>
    <row r="17" ht="18" customHeight="1">
      <c r="A17" s="10" t="inlineStr">
        <is>
          <t>Revenue</t>
        </is>
      </c>
      <c r="B17" s="11" t="n"/>
      <c r="C17" s="11" t="n"/>
      <c r="D17" s="11" t="n"/>
      <c r="E17" s="11" t="n"/>
      <c r="F17" s="11" t="n"/>
      <c r="G17" s="11" t="n"/>
      <c r="H17" s="11" t="n"/>
    </row>
    <row r="18" ht="24" customHeight="1">
      <c r="A18" s="51" t="inlineStr">
        <is>
          <t>Individual donations</t>
        </is>
      </c>
      <c r="B18" s="68">
        <f>'Model inputs'!D25</f>
        <v/>
      </c>
      <c r="C18" s="52">
        <f>C6*C7</f>
        <v/>
      </c>
      <c r="D18" s="52">
        <f>D6*D7</f>
        <v/>
      </c>
      <c r="E18" s="52">
        <f>E6*E7</f>
        <v/>
      </c>
      <c r="H18" s="28" t="inlineStr">
        <is>
          <t>Donor count times average gift.</t>
        </is>
      </c>
    </row>
    <row r="19">
      <c r="A19" s="51" t="inlineStr">
        <is>
          <t>Corporate donations</t>
        </is>
      </c>
      <c r="B19" s="68">
        <f>'Model inputs'!D26</f>
        <v/>
      </c>
      <c r="C19" s="52">
        <f>C8*C9</f>
        <v/>
      </c>
      <c r="D19" s="52">
        <f>D8*D9</f>
        <v/>
      </c>
      <c r="E19" s="52">
        <f>E8*E9</f>
        <v/>
      </c>
    </row>
    <row r="20">
      <c r="A20" s="51" t="inlineStr">
        <is>
          <t>Foundation grants</t>
        </is>
      </c>
      <c r="B20" s="68">
        <f>'Model inputs'!D27</f>
        <v/>
      </c>
      <c r="C20" s="52">
        <f>C10*C11</f>
        <v/>
      </c>
      <c r="D20" s="52">
        <f>D10*D11</f>
        <v/>
      </c>
      <c r="E20" s="52">
        <f>E10*E11</f>
        <v/>
      </c>
    </row>
    <row r="21">
      <c r="A21" s="51" t="inlineStr">
        <is>
          <t>Government funding</t>
        </is>
      </c>
      <c r="B21" s="68">
        <f>'Model inputs'!D28</f>
        <v/>
      </c>
      <c r="C21" s="52">
        <f>C12*C13</f>
        <v/>
      </c>
      <c r="D21" s="52">
        <f>D12*D13</f>
        <v/>
      </c>
      <c r="E21" s="52">
        <f>E12*E13</f>
        <v/>
      </c>
    </row>
    <row r="22">
      <c r="A22" s="51" t="inlineStr">
        <is>
          <t>Fundraising events</t>
        </is>
      </c>
      <c r="B22" s="68">
        <f>'Model inputs'!D29</f>
        <v/>
      </c>
      <c r="C22" s="52">
        <f>C14*C15</f>
        <v/>
      </c>
      <c r="D22" s="52">
        <f>D14*D15</f>
        <v/>
      </c>
      <c r="E22" s="52">
        <f>E14*E15</f>
        <v/>
      </c>
    </row>
    <row r="23">
      <c r="A23" s="12" t="inlineStr">
        <is>
          <t>Total contributions and grants</t>
        </is>
      </c>
      <c r="B23" s="69">
        <f>'Historical analysis'!G6</f>
        <v/>
      </c>
      <c r="C23" s="33">
        <f>SUM(C18:C22)</f>
        <v/>
      </c>
      <c r="D23" s="33">
        <f>SUM(D18:D22)</f>
        <v/>
      </c>
      <c r="E23" s="33">
        <f>SUM(E18:E22)</f>
        <v/>
      </c>
    </row>
    <row r="24">
      <c r="A24" s="51" t="inlineStr">
        <is>
          <t>Program service revenue</t>
        </is>
      </c>
      <c r="B24" s="68">
        <f>'Historical analysis'!G7</f>
        <v/>
      </c>
      <c r="C24" s="52">
        <f>B24*(1+'Model inputs'!$B$60)</f>
        <v/>
      </c>
      <c r="D24" s="52">
        <f>C24*(1+'Model inputs'!$B$60)</f>
        <v/>
      </c>
      <c r="E24" s="52">
        <f>D24*(1+'Model inputs'!$B$60)</f>
        <v/>
      </c>
    </row>
    <row r="25" ht="24" customHeight="1">
      <c r="A25" s="51" t="inlineStr">
        <is>
          <t>Investment and other income</t>
        </is>
      </c>
      <c r="B25" s="68">
        <f>'Historical analysis'!G8</f>
        <v/>
      </c>
      <c r="C25" s="52">
        <f>C60*'Model inputs'!$B$64</f>
        <v/>
      </c>
      <c r="D25" s="52">
        <f>D60*'Model inputs'!$B$64</f>
        <v/>
      </c>
      <c r="E25" s="52">
        <f>E60*'Model inputs'!$B$64</f>
        <v/>
      </c>
      <c r="H25" s="28" t="inlineStr">
        <is>
          <t>Return on the opening liquid reserve balance. This line grows as the reserve grows, which flatters the operating result and is worth separating out.</t>
        </is>
      </c>
    </row>
    <row r="26">
      <c r="A26" s="12" t="inlineStr">
        <is>
          <t>Total revenue</t>
        </is>
      </c>
      <c r="B26" s="69">
        <f>'Historical analysis'!G10</f>
        <v/>
      </c>
      <c r="C26" s="33">
        <f>C23+C24+C25</f>
        <v/>
      </c>
      <c r="D26" s="33">
        <f>D23+D24+D25</f>
        <v/>
      </c>
      <c r="E26" s="33">
        <f>E23+E24+E25</f>
        <v/>
      </c>
    </row>
    <row r="28" ht="18" customHeight="1">
      <c r="A28" s="10" t="inlineStr">
        <is>
          <t>Program volume and unit cost</t>
        </is>
      </c>
      <c r="B28" s="11" t="n"/>
      <c r="C28" s="11" t="n"/>
      <c r="D28" s="11" t="n"/>
      <c r="E28" s="11" t="n"/>
      <c r="F28" s="11" t="n"/>
      <c r="G28" s="11" t="n"/>
      <c r="H28" s="11" t="n"/>
    </row>
    <row r="29">
      <c r="A29" s="53" t="inlineStr">
        <is>
          <t>Career Coaching: participants</t>
        </is>
      </c>
      <c r="B29" s="65">
        <f>'Model inputs'!B35</f>
        <v/>
      </c>
      <c r="C29" s="60">
        <f>MIN(B29*(1+'Model inputs'!$B$63),3400)</f>
        <v/>
      </c>
      <c r="D29" s="60">
        <f>MIN(C29*(1+'Model inputs'!$B$63),3400)</f>
        <v/>
      </c>
      <c r="E29" s="60">
        <f>MIN(D29*(1+'Model inputs'!$B$63),3400)</f>
        <v/>
      </c>
    </row>
    <row r="30">
      <c r="A30" s="53" t="inlineStr">
        <is>
          <t>Digital Learning: participants</t>
        </is>
      </c>
      <c r="B30" s="65">
        <f>'Model inputs'!B36</f>
        <v/>
      </c>
      <c r="C30" s="60">
        <f>MIN(B30*(1+'Model inputs'!$B$63),15000)</f>
        <v/>
      </c>
      <c r="D30" s="60">
        <f>MIN(C30*(1+'Model inputs'!$B$63),15000)</f>
        <v/>
      </c>
      <c r="E30" s="60">
        <f>MIN(D30*(1+'Model inputs'!$B$63),15000)</f>
        <v/>
      </c>
    </row>
    <row r="31">
      <c r="A31" s="53" t="inlineStr">
        <is>
          <t>Credential Support: participants</t>
        </is>
      </c>
      <c r="B31" s="65">
        <f>'Model inputs'!B37</f>
        <v/>
      </c>
      <c r="C31" s="60">
        <f>MIN(B31*(1+'Model inputs'!$B$63),1150)</f>
        <v/>
      </c>
      <c r="D31" s="60">
        <f>MIN(C31*(1+'Model inputs'!$B$63),1150)</f>
        <v/>
      </c>
      <c r="E31" s="60">
        <f>MIN(D31*(1+'Model inputs'!$B$63),1150)</f>
        <v/>
      </c>
    </row>
    <row r="32">
      <c r="A32" s="53" t="inlineStr">
        <is>
          <t>Partner Capacity: participants</t>
        </is>
      </c>
      <c r="B32" s="65">
        <f>'Model inputs'!B38</f>
        <v/>
      </c>
      <c r="C32" s="60">
        <f>MIN(B32*(1+'Model inputs'!$B$63),1500)</f>
        <v/>
      </c>
      <c r="D32" s="60">
        <f>MIN(C32*(1+'Model inputs'!$B$63),1500)</f>
        <v/>
      </c>
      <c r="E32" s="60">
        <f>MIN(D32*(1+'Model inputs'!$B$63),1500)</f>
        <v/>
      </c>
    </row>
    <row r="34">
      <c r="A34" s="53" t="inlineStr">
        <is>
          <t>Career Coaching: cost per participant</t>
        </is>
      </c>
      <c r="B34" s="66">
        <f>'Model inputs'!D35/'Model inputs'!B35</f>
        <v/>
      </c>
      <c r="C34" s="67">
        <f>B34*(1+'Model inputs'!$B$61)</f>
        <v/>
      </c>
      <c r="D34" s="67">
        <f>C34*(1+'Model inputs'!$B$61)</f>
        <v/>
      </c>
      <c r="E34" s="67">
        <f>D34*(1+'Model inputs'!$B$61)</f>
        <v/>
      </c>
    </row>
    <row r="35">
      <c r="A35" s="53" t="inlineStr">
        <is>
          <t>Digital Learning: cost per participant</t>
        </is>
      </c>
      <c r="B35" s="66">
        <f>'Model inputs'!D36/'Model inputs'!B36</f>
        <v/>
      </c>
      <c r="C35" s="67">
        <f>B35*(1+'Model inputs'!$B$61)</f>
        <v/>
      </c>
      <c r="D35" s="67">
        <f>C35*(1+'Model inputs'!$B$61)</f>
        <v/>
      </c>
      <c r="E35" s="67">
        <f>D35*(1+'Model inputs'!$B$61)</f>
        <v/>
      </c>
    </row>
    <row r="36">
      <c r="A36" s="53" t="inlineStr">
        <is>
          <t>Credential Support: cost per participant</t>
        </is>
      </c>
      <c r="B36" s="66">
        <f>'Model inputs'!D37/'Model inputs'!B37</f>
        <v/>
      </c>
      <c r="C36" s="67">
        <f>B36*(1+'Model inputs'!$B$61)</f>
        <v/>
      </c>
      <c r="D36" s="67">
        <f>C36*(1+'Model inputs'!$B$61)</f>
        <v/>
      </c>
      <c r="E36" s="67">
        <f>D36*(1+'Model inputs'!$B$61)</f>
        <v/>
      </c>
    </row>
    <row r="37">
      <c r="A37" s="53" t="inlineStr">
        <is>
          <t>Partner Capacity: cost per participant</t>
        </is>
      </c>
      <c r="B37" s="66">
        <f>'Model inputs'!D38/'Model inputs'!B38</f>
        <v/>
      </c>
      <c r="C37" s="67">
        <f>B37*(1+'Model inputs'!$B$61)</f>
        <v/>
      </c>
      <c r="D37" s="67">
        <f>C37*(1+'Model inputs'!$B$61)</f>
        <v/>
      </c>
      <c r="E37" s="67">
        <f>D37*(1+'Model inputs'!$B$61)</f>
        <v/>
      </c>
    </row>
    <row r="39" ht="24" customHeight="1">
      <c r="A39" s="53" t="inlineStr">
        <is>
          <t>Career Coaching: program cost</t>
        </is>
      </c>
      <c r="B39" s="68">
        <f>'Model inputs'!D35</f>
        <v/>
      </c>
      <c r="C39" s="52">
        <f>C29*C34</f>
        <v/>
      </c>
      <c r="D39" s="52">
        <f>D29*D34</f>
        <v/>
      </c>
      <c r="E39" s="52">
        <f>E29*E34</f>
        <v/>
      </c>
      <c r="H39" s="28" t="inlineStr">
        <is>
          <t>Participants times cost per participant.</t>
        </is>
      </c>
    </row>
    <row r="40">
      <c r="A40" s="53" t="inlineStr">
        <is>
          <t>Digital Learning: program cost</t>
        </is>
      </c>
      <c r="B40" s="68">
        <f>'Model inputs'!D36</f>
        <v/>
      </c>
      <c r="C40" s="52">
        <f>C30*C35</f>
        <v/>
      </c>
      <c r="D40" s="52">
        <f>D30*D35</f>
        <v/>
      </c>
      <c r="E40" s="52">
        <f>E30*E35</f>
        <v/>
      </c>
    </row>
    <row r="41">
      <c r="A41" s="53" t="inlineStr">
        <is>
          <t>Credential Support: program cost</t>
        </is>
      </c>
      <c r="B41" s="68">
        <f>'Model inputs'!D37</f>
        <v/>
      </c>
      <c r="C41" s="52">
        <f>C31*C36</f>
        <v/>
      </c>
      <c r="D41" s="52">
        <f>D31*D36</f>
        <v/>
      </c>
      <c r="E41" s="52">
        <f>E31*E36</f>
        <v/>
      </c>
    </row>
    <row r="42">
      <c r="A42" s="53" t="inlineStr">
        <is>
          <t>Partner Capacity: program cost</t>
        </is>
      </c>
      <c r="B42" s="68">
        <f>'Model inputs'!D38</f>
        <v/>
      </c>
      <c r="C42" s="52">
        <f>C32*C37</f>
        <v/>
      </c>
      <c r="D42" s="52">
        <f>D32*D37</f>
        <v/>
      </c>
      <c r="E42" s="52">
        <f>E32*E37</f>
        <v/>
      </c>
    </row>
    <row r="44" ht="18" customHeight="1">
      <c r="A44" s="10" t="inlineStr">
        <is>
          <t>Expenses</t>
        </is>
      </c>
      <c r="B44" s="11" t="n"/>
      <c r="C44" s="11" t="n"/>
      <c r="D44" s="11" t="n"/>
      <c r="E44" s="11" t="n"/>
      <c r="F44" s="11" t="n"/>
      <c r="G44" s="11" t="n"/>
      <c r="H44" s="11" t="n"/>
    </row>
    <row r="45">
      <c r="A45" s="12" t="inlineStr">
        <is>
          <t>Program services</t>
        </is>
      </c>
      <c r="B45" s="69">
        <f>'Historical analysis'!G13</f>
        <v/>
      </c>
      <c r="C45" s="33">
        <f>SUM(C39:C42)</f>
        <v/>
      </c>
      <c r="D45" s="33">
        <f>SUM(D39:D42)</f>
        <v/>
      </c>
      <c r="E45" s="33">
        <f>SUM(E39:E42)</f>
        <v/>
      </c>
    </row>
    <row r="46" ht="24" customHeight="1">
      <c r="A46" s="51" t="inlineStr">
        <is>
          <t>Management and general</t>
        </is>
      </c>
      <c r="B46" s="68">
        <f>'Historical analysis'!G14</f>
        <v/>
      </c>
      <c r="C46" s="52">
        <f>B46*(1+'Model inputs'!$B$62)*(1+'Model inputs'!$B$51*(C45/B45-1))</f>
        <v/>
      </c>
      <c r="D46" s="52">
        <f>C46*(1+'Model inputs'!$B$62)*(1+'Model inputs'!$B$51*(D45/C45-1))</f>
        <v/>
      </c>
      <c r="E46" s="52">
        <f>D46*(1+'Model inputs'!$B$62)*(1+'Model inputs'!$B$51*(E45/D45-1))</f>
        <v/>
      </c>
      <c r="H46" s="28" t="inlineStr">
        <is>
          <t>Semi-fixed: only the variable share moves with program scale.</t>
        </is>
      </c>
    </row>
    <row r="47">
      <c r="A47" s="51" t="inlineStr">
        <is>
          <t>Fundraising</t>
        </is>
      </c>
      <c r="B47" s="68">
        <f>'Historical analysis'!G15</f>
        <v/>
      </c>
      <c r="C47" s="52">
        <f>B47*(1+'Model inputs'!$B$62)*(1+'Model inputs'!$B$52*(C23/B23-1))</f>
        <v/>
      </c>
      <c r="D47" s="52">
        <f>C47*(1+'Model inputs'!$B$62)*(1+'Model inputs'!$B$52*(D23/C23-1))</f>
        <v/>
      </c>
      <c r="E47" s="52">
        <f>D47*(1+'Model inputs'!$B$62)*(1+'Model inputs'!$B$52*(E23/D23-1))</f>
        <v/>
      </c>
    </row>
    <row r="48">
      <c r="A48" s="12" t="inlineStr">
        <is>
          <t>Total expenses</t>
        </is>
      </c>
      <c r="B48" s="69">
        <f>'Historical analysis'!G16</f>
        <v/>
      </c>
      <c r="C48" s="33">
        <f>C45+C46+C47</f>
        <v/>
      </c>
      <c r="D48" s="33">
        <f>D45+D46+D47</f>
        <v/>
      </c>
      <c r="E48" s="33">
        <f>E45+E46+E47</f>
        <v/>
      </c>
    </row>
    <row r="50" ht="18" customHeight="1">
      <c r="A50" s="10" t="inlineStr">
        <is>
          <t>Personnel (implied by delivery hours)</t>
        </is>
      </c>
      <c r="B50" s="11" t="n"/>
      <c r="C50" s="11" t="n"/>
      <c r="D50" s="11" t="n"/>
      <c r="E50" s="11" t="n"/>
      <c r="F50" s="11" t="n"/>
      <c r="G50" s="11" t="n"/>
      <c r="H50" s="11" t="n"/>
    </row>
    <row r="51" ht="24" customHeight="1">
      <c r="A51" s="51" t="inlineStr">
        <is>
          <t>Program delivery hours</t>
        </is>
      </c>
      <c r="C51" s="60">
        <f>C29*'Model inputs'!$G$35 + C30*'Model inputs'!$G$36 + C31*'Model inputs'!$G$37 + C32*'Model inputs'!$G$38</f>
        <v/>
      </c>
      <c r="D51" s="60">
        <f>D29*'Model inputs'!$G$35 + D30*'Model inputs'!$G$36 + D31*'Model inputs'!$G$37 + D32*'Model inputs'!$G$38</f>
        <v/>
      </c>
      <c r="E51" s="60">
        <f>E29*'Model inputs'!$G$35 + E30*'Model inputs'!$G$36 + E31*'Model inputs'!$G$37 + E32*'Model inputs'!$G$38</f>
        <v/>
      </c>
      <c r="H51" s="28" t="inlineStr">
        <is>
          <t>Participants times staff hours per participant, summed across programs.</t>
        </is>
      </c>
    </row>
    <row r="52">
      <c r="A52" s="51" t="inlineStr">
        <is>
          <t>Implied FTE</t>
        </is>
      </c>
      <c r="B52" s="65">
        <f>'Model inputs'!B43</f>
        <v/>
      </c>
      <c r="C52" s="60">
        <f>C51/'Model inputs'!$B$46/'Model inputs'!$B$47</f>
        <v/>
      </c>
      <c r="D52" s="60">
        <f>D51/'Model inputs'!$B$46/'Model inputs'!$B$47</f>
        <v/>
      </c>
      <c r="E52" s="60">
        <f>E51/'Model inputs'!$B$46/'Model inputs'!$B$47</f>
        <v/>
      </c>
    </row>
    <row r="53">
      <c r="A53" s="51" t="inlineStr">
        <is>
          <t>Average salary</t>
        </is>
      </c>
      <c r="B53" s="68">
        <f>'Model inputs'!B43*0+84796.2314</f>
        <v/>
      </c>
      <c r="C53" s="52">
        <f>B53*(1+'Model inputs'!$B$62)</f>
        <v/>
      </c>
      <c r="D53" s="52">
        <f>C53*(1+'Model inputs'!$B$62)</f>
        <v/>
      </c>
      <c r="E53" s="52">
        <f>D53*(1+'Model inputs'!$B$62)</f>
        <v/>
      </c>
    </row>
    <row r="54">
      <c r="A54" s="51" t="inlineStr">
        <is>
          <t>Fully loaded personnel cost</t>
        </is>
      </c>
      <c r="C54" s="52">
        <f>C52*C53*(1+'Model inputs'!$B$44+'Model inputs'!$B$45)</f>
        <v/>
      </c>
      <c r="D54" s="52">
        <f>D52*D53*(1+'Model inputs'!$B$44+'Model inputs'!$B$45)</f>
        <v/>
      </c>
      <c r="E54" s="52">
        <f>E52*E53*(1+'Model inputs'!$B$44+'Model inputs'!$B$45)</f>
        <v/>
      </c>
    </row>
    <row r="55" ht="24" customHeight="1">
      <c r="A55" s="51" t="inlineStr">
        <is>
          <t>Personnel as a share of expenses</t>
        </is>
      </c>
      <c r="C55" s="55">
        <f>C54/C48</f>
        <v/>
      </c>
      <c r="D55" s="55">
        <f>D54/D48</f>
        <v/>
      </c>
      <c r="E55" s="55">
        <f>E54/E48</f>
        <v/>
      </c>
      <c r="H55" s="28" t="inlineStr">
        <is>
          <t>A sanity check on the expense build. If this drifts far from the FY2024 level of about 66%, the participant or cost drivers are implying a staffing level the expense lines do not fund.</t>
        </is>
      </c>
    </row>
    <row r="57" ht="18" customHeight="1">
      <c r="A57" s="10" t="inlineStr">
        <is>
          <t>Result and reserves</t>
        </is>
      </c>
      <c r="B57" s="11" t="n"/>
      <c r="C57" s="11" t="n"/>
      <c r="D57" s="11" t="n"/>
      <c r="E57" s="11" t="n"/>
      <c r="F57" s="11" t="n"/>
      <c r="G57" s="11" t="n"/>
      <c r="H57" s="11" t="n"/>
    </row>
    <row r="58">
      <c r="A58" s="12" t="inlineStr">
        <is>
          <t>Operating surplus / (deficit)</t>
        </is>
      </c>
      <c r="B58" s="69">
        <f>'Historical analysis'!G19</f>
        <v/>
      </c>
      <c r="C58" s="33">
        <f>C26-C48</f>
        <v/>
      </c>
      <c r="D58" s="33">
        <f>D26-D48</f>
        <v/>
      </c>
      <c r="E58" s="33">
        <f>E26-E48</f>
        <v/>
      </c>
    </row>
    <row r="59">
      <c r="A59" s="51" t="inlineStr">
        <is>
          <t>Operating margin</t>
        </is>
      </c>
      <c r="B59" s="70">
        <f>'Historical analysis'!G20</f>
        <v/>
      </c>
      <c r="C59" s="55">
        <f>C58/C26</f>
        <v/>
      </c>
      <c r="D59" s="55">
        <f>D58/D26</f>
        <v/>
      </c>
      <c r="E59" s="55">
        <f>E58/E26</f>
        <v/>
      </c>
    </row>
    <row r="60" ht="24" customHeight="1">
      <c r="A60" s="51" t="inlineStr">
        <is>
          <t>Opening liquid reserves</t>
        </is>
      </c>
      <c r="C60" s="52">
        <f>'Historical analysis'!G35</f>
        <v/>
      </c>
      <c r="D60" s="52">
        <f>C61</f>
        <v/>
      </c>
      <c r="E60" s="52">
        <f>D61</f>
        <v/>
      </c>
      <c r="H60" s="28" t="inlineStr">
        <is>
          <t>Prior year closing balance. The reserve roll-forward is the spine of the liquidity analysis, so it is built as an explicit opening / movement / closing chain rather than a single netted line.</t>
        </is>
      </c>
    </row>
    <row r="61">
      <c r="A61" s="12" t="inlineStr">
        <is>
          <t>Closing liquid reserves</t>
        </is>
      </c>
      <c r="B61" s="69">
        <f>'Historical analysis'!G35</f>
        <v/>
      </c>
      <c r="C61" s="33">
        <f>C60+C58</f>
        <v/>
      </c>
      <c r="D61" s="33">
        <f>D60+D58</f>
        <v/>
      </c>
      <c r="E61" s="33">
        <f>E60+E58</f>
        <v/>
      </c>
    </row>
    <row r="62">
      <c r="A62" s="51" t="inlineStr">
        <is>
          <t>Closing net assets</t>
        </is>
      </c>
      <c r="B62" s="68">
        <f>'Historical analysis'!G33</f>
        <v/>
      </c>
      <c r="C62" s="52">
        <f>B62+C58</f>
        <v/>
      </c>
      <c r="D62" s="52">
        <f>C62+D58</f>
        <v/>
      </c>
      <c r="E62" s="52">
        <f>D62+E58</f>
        <v/>
      </c>
    </row>
    <row r="63">
      <c r="A63" s="51" t="inlineStr">
        <is>
          <t>Average monthly expenses</t>
        </is>
      </c>
      <c r="B63" s="68">
        <f>'Historical analysis'!G51</f>
        <v/>
      </c>
      <c r="C63" s="52">
        <f>C48/12</f>
        <v/>
      </c>
      <c r="D63" s="52">
        <f>D48/12</f>
        <v/>
      </c>
      <c r="E63" s="52">
        <f>E48/12</f>
        <v/>
      </c>
    </row>
    <row r="64">
      <c r="A64" s="51" t="inlineStr">
        <is>
          <t>Liquid reserve runway</t>
        </is>
      </c>
      <c r="B64" s="71">
        <f>'Historical analysis'!G53</f>
        <v/>
      </c>
      <c r="C64" s="59">
        <f>C61/C63</f>
        <v/>
      </c>
      <c r="D64" s="59">
        <f>D61/D63</f>
        <v/>
      </c>
      <c r="E64" s="59">
        <f>E61/E63</f>
        <v/>
      </c>
    </row>
    <row r="65" ht="24" customHeight="1">
      <c r="A65" s="51" t="inlineStr">
        <is>
          <t>Net assets, multiple of expenses</t>
        </is>
      </c>
      <c r="B65" s="72">
        <f>'Historical analysis'!G55</f>
        <v/>
      </c>
      <c r="C65" s="58">
        <f>C62/C48</f>
        <v/>
      </c>
      <c r="D65" s="58">
        <f>D62/D48</f>
        <v/>
      </c>
      <c r="E65" s="58">
        <f>E62/E48</f>
        <v/>
      </c>
      <c r="H65" s="28" t="inlineStr">
        <is>
          <t>BBB Standard 10 caps this at three times annual expenses.</t>
        </is>
      </c>
    </row>
    <row r="67" ht="18" customHeight="1">
      <c r="A67" s="10" t="inlineStr">
        <is>
          <t>Program outputs</t>
        </is>
      </c>
      <c r="B67" s="11" t="n"/>
      <c r="C67" s="11" t="n"/>
      <c r="D67" s="11" t="n"/>
      <c r="E67" s="11" t="n"/>
      <c r="F67" s="11" t="n"/>
      <c r="G67" s="11" t="n"/>
      <c r="H67" s="11" t="n"/>
    </row>
    <row r="68">
      <c r="A68" s="51" t="inlineStr">
        <is>
          <t>Participants served</t>
        </is>
      </c>
      <c r="B68" s="65">
        <f>'Historical analysis'!G59</f>
        <v/>
      </c>
      <c r="C68" s="60">
        <f>C29+C30+C31+C32</f>
        <v/>
      </c>
      <c r="D68" s="60">
        <f>D29+D30+D31+D32</f>
        <v/>
      </c>
      <c r="E68" s="60">
        <f>E29+E30+E31+E32</f>
        <v/>
      </c>
    </row>
    <row r="69" ht="24" customHeight="1">
      <c r="A69" s="51" t="inlineStr">
        <is>
          <t>Successful outcomes</t>
        </is>
      </c>
      <c r="B69" s="65">
        <f>'Historical analysis'!G60</f>
        <v/>
      </c>
      <c r="C69" s="60">
        <f>C29*'Model inputs'!$C$35/'Model inputs'!$B$35+C30*'Model inputs'!$C$36/'Model inputs'!$B$36+C31*'Model inputs'!$C$37/'Model inputs'!$B$37+C32*'Model inputs'!$C$38/'Model inputs'!$B$38</f>
        <v/>
      </c>
      <c r="D69" s="60">
        <f>D29*'Model inputs'!$C$35/'Model inputs'!$B$35+D30*'Model inputs'!$C$36/'Model inputs'!$B$36+D31*'Model inputs'!$C$37/'Model inputs'!$B$37+D32*'Model inputs'!$C$38/'Model inputs'!$B$38</f>
        <v/>
      </c>
      <c r="E69" s="60">
        <f>E29*'Model inputs'!$C$35/'Model inputs'!$B$35+E30*'Model inputs'!$C$36/'Model inputs'!$B$36+E31*'Model inputs'!$C$37/'Model inputs'!$B$37+E32*'Model inputs'!$C$38/'Model inputs'!$B$38</f>
        <v/>
      </c>
      <c r="H69" s="28" t="inlineStr">
        <is>
          <t>Participants times each program's base-year outcome rate, held constant.</t>
        </is>
      </c>
    </row>
    <row r="70">
      <c r="A70" s="51" t="inlineStr">
        <is>
          <t>Program expense ratio</t>
        </is>
      </c>
      <c r="B70" s="70">
        <f>'Historical analysis'!G44</f>
        <v/>
      </c>
      <c r="C70" s="55">
        <f>C45/C48</f>
        <v/>
      </c>
      <c r="D70" s="55">
        <f>D45/D48</f>
        <v/>
      </c>
      <c r="E70" s="55">
        <f>E45/E48</f>
        <v/>
      </c>
    </row>
    <row r="71">
      <c r="A71" s="51" t="inlineStr">
        <is>
          <t>Cost per participant</t>
        </is>
      </c>
      <c r="B71" s="68">
        <f>'Historical analysis'!G62</f>
        <v/>
      </c>
      <c r="C71" s="52">
        <f>C45/C68</f>
        <v/>
      </c>
      <c r="D71" s="52">
        <f>D45/D68</f>
        <v/>
      </c>
      <c r="E71" s="52">
        <f>E45/E68</f>
        <v/>
      </c>
    </row>
    <row r="72">
      <c r="A72" s="51" t="inlineStr">
        <is>
          <t>Cost per successful outcome</t>
        </is>
      </c>
      <c r="B72" s="68">
        <f>'Historical analysis'!G63</f>
        <v/>
      </c>
      <c r="C72" s="52">
        <f>C45/C69</f>
        <v/>
      </c>
      <c r="D72" s="52">
        <f>D45/D69</f>
        <v/>
      </c>
      <c r="E72" s="52">
        <f>E45/E69</f>
        <v/>
      </c>
    </row>
  </sheetData>
  <conditionalFormatting sqref="C58:E58">
    <cfRule type="cellIs" priority="1" operator="lessThan" dxfId="0">
      <formula>0</formula>
    </cfRule>
  </conditionalFormatting>
  <conditionalFormatting sqref="C64:E64">
    <cfRule type="cellIs" priority="2" operator="lessThan" dxfId="0">
      <formula>'Model inputs'!$B$71</formula>
    </cfRule>
  </conditionalFormatting>
  <conditionalFormatting sqref="C65:E65">
    <cfRule type="cellIs" priority="3" operator="greaterThan" dxfId="1">
      <formula>'Model inputs'!$B$69</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2026-09-10T18:32:32Z</dcterms:created>
  <dcterms:modified xmlns:dcterms="http://purl.org/dc/terms/" xmlns:xsi="http://www.w3.org/2001/XMLSchema-instance" xsi:type="dcterms:W3CDTF">2026-09-10T18:32:33Z</dcterms:modified>
</cp:coreProperties>
</file>