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dget vs actual" sheetId="1" state="visible" r:id="rId1"/>
    <sheet xmlns:r="http://schemas.openxmlformats.org/officeDocument/2006/relationships" name="Source data" sheetId="2" state="visible" r:id="rId2"/>
    <sheet xmlns:r="http://schemas.openxmlformats.org/officeDocument/2006/relationships" name="Budget basis" sheetId="3" state="visible" r:id="rId3"/>
    <sheet xmlns:r="http://schemas.openxmlformats.org/officeDocument/2006/relationships" name="Variance decomposition" sheetId="4" state="visible" r:id="rId4"/>
    <sheet xmlns:r="http://schemas.openxmlformats.org/officeDocument/2006/relationships" name="Management commentary" sheetId="5" state="visible" r:id="rId5"/>
  </sheets>
  <definedNames/>
  <calcPr calcId="124519" fullCalcOnLoad="1"/>
</workbook>
</file>

<file path=xl/styles.xml><?xml version="1.0" encoding="utf-8"?>
<styleSheet xmlns="http://schemas.openxmlformats.org/spreadsheetml/2006/main">
  <numFmts count="4">
    <numFmt numFmtId="164" formatCode="#,##0;[Red](#,##0);&quot;-&quot;"/>
    <numFmt numFmtId="165" formatCode="0.0%;[Red](0.0%);&quot;-&quot;"/>
    <numFmt numFmtId="166" formatCode="#,##0.0;[Red](#,##0.0);&quot;-&quot;"/>
    <numFmt numFmtId="167" formatCode="#,##0.00;[Red](#,##0.00);&quot;-&quot;"/>
  </numFmts>
  <fonts count="23">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FFFFFF"/>
      <sz val="10"/>
    </font>
    <font>
      <name val="Calibri"/>
      <color rgb="001A1A1A"/>
      <sz val="9"/>
    </font>
    <font>
      <name val="Calibri"/>
      <i val="1"/>
      <color rgb="009A3412"/>
      <sz val="8.5"/>
    </font>
    <font>
      <name val="Calibri"/>
      <i val="1"/>
      <color rgb="009A3412"/>
      <sz val="10"/>
    </font>
    <font>
      <name val="Calibri"/>
      <b val="1"/>
      <sz val="9"/>
    </font>
    <font>
      <name val="Calibri"/>
      <color rgb="005F6B7A"/>
      <sz val="8.5"/>
    </font>
    <font>
      <name val="Calibri"/>
      <b val="1"/>
      <i val="1"/>
      <color rgb="009A3412"/>
      <sz val="10"/>
    </font>
    <font>
      <name val="Calibri"/>
      <b val="1"/>
      <color rgb="0012324F"/>
      <sz val="11"/>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9A3412"/>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rder>
  </borders>
  <cellStyleXfs count="1">
    <xf numFmtId="0" fontId="0" fillId="0" borderId="0"/>
  </cellStyleXfs>
  <cellXfs count="4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13" fillId="0" borderId="0" applyAlignment="1" pivotButton="0" quotePrefix="0" xfId="0">
      <alignment horizontal="left" vertical="center" indent="1"/>
    </xf>
    <xf numFmtId="164" fontId="18" fillId="0" borderId="0" applyAlignment="1" pivotButton="0" quotePrefix="0" xfId="0">
      <alignment horizontal="right"/>
    </xf>
    <xf numFmtId="164" fontId="13" fillId="0" borderId="0" applyAlignment="1" pivotButton="0" quotePrefix="0" xfId="0">
      <alignment horizontal="right"/>
    </xf>
    <xf numFmtId="164" fontId="12" fillId="0" borderId="0" applyAlignment="1" pivotButton="0" quotePrefix="0" xfId="0">
      <alignment horizontal="right"/>
    </xf>
    <xf numFmtId="165" fontId="12" fillId="0" borderId="0" applyAlignment="1" pivotButton="0" quotePrefix="0" xfId="0">
      <alignment horizontal="right"/>
    </xf>
    <xf numFmtId="0" fontId="19" fillId="0" borderId="0" applyAlignment="1" pivotButton="0" quotePrefix="0" xfId="0">
      <alignment horizontal="center"/>
    </xf>
    <xf numFmtId="0" fontId="20" fillId="0" borderId="0" applyAlignment="1" pivotButton="0" quotePrefix="0" xfId="0">
      <alignment vertical="top" wrapText="1"/>
    </xf>
    <xf numFmtId="0" fontId="10" fillId="0" borderId="0" applyAlignment="1" pivotButton="0" quotePrefix="0" xfId="0">
      <alignment horizontal="left" vertical="center"/>
    </xf>
    <xf numFmtId="164" fontId="21" fillId="0" borderId="0" applyAlignment="1" pivotButton="0" quotePrefix="0" xfId="0">
      <alignment horizontal="right"/>
    </xf>
    <xf numFmtId="164" fontId="10" fillId="0" borderId="0" applyAlignment="1" pivotButton="0" quotePrefix="0" xfId="0">
      <alignment horizontal="right"/>
    </xf>
    <xf numFmtId="164" fontId="11" fillId="0" borderId="0" applyAlignment="1" pivotButton="0" quotePrefix="0" xfId="0">
      <alignment horizontal="right"/>
    </xf>
    <xf numFmtId="165" fontId="11" fillId="0" borderId="0" applyAlignment="1" pivotButton="0" quotePrefix="0" xfId="0">
      <alignment horizontal="right"/>
    </xf>
    <xf numFmtId="165" fontId="18" fillId="0" borderId="0" applyAlignment="1" pivotButton="0" quotePrefix="0" xfId="0">
      <alignment horizontal="right"/>
    </xf>
    <xf numFmtId="165" fontId="13" fillId="0" borderId="0" applyAlignment="1" pivotButton="0" quotePrefix="0" xfId="0">
      <alignment horizontal="right"/>
    </xf>
    <xf numFmtId="166" fontId="18" fillId="0" borderId="0" applyAlignment="1" pivotButton="0" quotePrefix="0" xfId="0">
      <alignment horizontal="right"/>
    </xf>
    <xf numFmtId="166" fontId="13" fillId="0" borderId="0" applyAlignment="1" pivotButton="0" quotePrefix="0" xfId="0">
      <alignment horizontal="right"/>
    </xf>
    <xf numFmtId="166" fontId="12" fillId="0" borderId="0" applyAlignment="1" pivotButton="0" quotePrefix="0" xfId="0">
      <alignment horizontal="right"/>
    </xf>
    <xf numFmtId="167" fontId="18" fillId="0" borderId="0" applyAlignment="1" pivotButton="0" quotePrefix="0" xfId="0">
      <alignment horizontal="right"/>
    </xf>
    <xf numFmtId="167" fontId="13" fillId="0" borderId="0" applyAlignment="1" pivotButton="0" quotePrefix="0" xfId="0">
      <alignment horizontal="right"/>
    </xf>
    <xf numFmtId="167" fontId="12" fillId="0" borderId="0" applyAlignment="1" pivotButton="0" quotePrefix="0" xfId="0">
      <alignment horizontal="right"/>
    </xf>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5" fillId="7" borderId="0" applyAlignment="1" pivotButton="0" quotePrefix="0" xfId="0">
      <alignment vertical="center" wrapText="1"/>
    </xf>
    <xf numFmtId="0" fontId="16" fillId="0" borderId="0" applyAlignment="1" pivotButton="0" quotePrefix="0" xfId="0">
      <alignment vertical="top" wrapText="1"/>
    </xf>
    <xf numFmtId="0" fontId="17" fillId="0" borderId="0" applyAlignment="1" pivotButton="0" quotePrefix="0" xfId="0">
      <alignment vertical="top" wrapText="1"/>
    </xf>
    <xf numFmtId="49" fontId="12" fillId="0" borderId="0" applyAlignment="1" pivotButton="0" quotePrefix="0" xfId="0">
      <alignment horizontal="right"/>
    </xf>
    <xf numFmtId="0" fontId="3" fillId="0" borderId="3" applyAlignment="1" pivotButton="0" quotePrefix="0" xfId="0">
      <alignment horizontal="left" vertical="center"/>
    </xf>
    <xf numFmtId="164" fontId="3" fillId="0" borderId="3" applyAlignment="1" pivotButton="0" quotePrefix="0" xfId="0">
      <alignment horizontal="right"/>
    </xf>
    <xf numFmtId="167" fontId="11" fillId="0" borderId="0" applyAlignment="1" pivotButton="0" quotePrefix="0" xfId="0">
      <alignment horizontal="right"/>
    </xf>
    <xf numFmtId="0" fontId="22" fillId="0" borderId="0" pivotButton="0" quotePrefix="0" xfId="0"/>
    <xf numFmtId="0" fontId="13" fillId="0" borderId="0" applyAlignment="1" pivotButton="0" quotePrefix="0" xfId="0">
      <alignment vertical="top" wrapText="1"/>
    </xf>
  </cellXfs>
  <cellStyles count="1">
    <cellStyle name="Normal" xfId="0" builtinId="0" hidden="0"/>
  </cellStyles>
  <dxfs count="1">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24F"/>
    <outlinePr summaryBelow="1" summaryRight="1"/>
    <pageSetUpPr/>
  </sheetPr>
  <dimension ref="A1:G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7" customWidth="1" min="2" max="2"/>
    <col width="17" customWidth="1" min="3" max="3"/>
    <col width="16" customWidth="1" min="4" max="4"/>
    <col width="12" customWidth="1" min="5" max="5"/>
    <col width="13" customWidth="1" min="6" max="6"/>
    <col width="58" customWidth="1" min="7" max="7"/>
  </cols>
  <sheetData>
    <row r="1" ht="24" customHeight="1">
      <c r="A1" s="1" t="inlineStr">
        <is>
          <t>FY2024 budget versus actual</t>
        </is>
      </c>
    </row>
    <row r="2">
      <c r="A2" s="2" t="inlineStr">
        <is>
          <t>Budget column is a simulation (see 'Budget basis'). Actual column is as filed. Variance is actual less budget; the favourable / unfavourable flag flips sign for expense lines.</t>
        </is>
      </c>
    </row>
    <row r="3">
      <c r="A3" s="3" t="n"/>
      <c r="B3" s="3" t="n"/>
      <c r="C3" s="3" t="n"/>
      <c r="D3" s="3" t="n"/>
      <c r="E3" s="3" t="n"/>
      <c r="F3" s="3" t="n"/>
      <c r="G3" s="3" t="n"/>
    </row>
    <row r="4" ht="30" customHeight="1">
      <c r="A4" s="4" t="inlineStr">
        <is>
          <t>Line</t>
        </is>
      </c>
      <c r="B4" s="5" t="inlineStr">
        <is>
          <t>Budget (simulated)</t>
        </is>
      </c>
      <c r="C4" s="5" t="inlineStr">
        <is>
          <t>Actual (filed)</t>
        </is>
      </c>
      <c r="D4" s="5" t="inlineStr">
        <is>
          <t>Variance</t>
        </is>
      </c>
      <c r="E4" s="5" t="inlineStr">
        <is>
          <t>Variance %</t>
        </is>
      </c>
      <c r="F4" s="5" t="inlineStr">
        <is>
          <t>F / U</t>
        </is>
      </c>
      <c r="G4" s="5" t="inlineStr">
        <is>
          <t>Commentary</t>
        </is>
      </c>
    </row>
    <row r="5" ht="18" customHeight="1">
      <c r="A5" s="6" t="inlineStr">
        <is>
          <t>Revenue</t>
        </is>
      </c>
      <c r="B5" s="7" t="n"/>
      <c r="C5" s="7" t="n"/>
      <c r="D5" s="7" t="n"/>
      <c r="E5" s="7" t="n"/>
      <c r="F5" s="7" t="n"/>
      <c r="G5" s="7" t="n"/>
    </row>
    <row r="6" ht="26" customHeight="1">
      <c r="A6" s="8" t="inlineStr">
        <is>
          <t>Contributions and grants</t>
        </is>
      </c>
      <c r="B6" s="9">
        <f>'Source data'!F10*(1+'Budget basis'!$C$15)*('Source data'!F6/'Source data'!F10)</f>
        <v/>
      </c>
      <c r="C6" s="10">
        <f>'Source data'!G6</f>
        <v/>
      </c>
      <c r="D6" s="11">
        <f>C6-B6</f>
        <v/>
      </c>
      <c r="E6" s="12">
        <f>IF(B6=0,"n/a",D6/ABS(B6))</f>
        <v/>
      </c>
      <c r="F6" s="13">
        <f>IF(D6&gt;0,"Favourable","Unfavourable")</f>
        <v/>
      </c>
      <c r="G6" s="14" t="inlineStr">
        <is>
          <t>Budget holds the FY2023 revenue mix and applies the 12% growth plan.</t>
        </is>
      </c>
    </row>
    <row r="7">
      <c r="A7" s="8" t="inlineStr">
        <is>
          <t>Program service revenue</t>
        </is>
      </c>
      <c r="B7" s="9">
        <f>'Source data'!F10*(1+'Budget basis'!$C$15)*('Source data'!F7/'Source data'!F10)</f>
        <v/>
      </c>
      <c r="C7" s="10">
        <f>'Source data'!G7</f>
        <v/>
      </c>
      <c r="D7" s="11">
        <f>C7-B7</f>
        <v/>
      </c>
      <c r="E7" s="12">
        <f>IF(B7=0,"n/a",D7/ABS(B7))</f>
        <v/>
      </c>
      <c r="F7" s="13">
        <f>IF(D7&gt;0,"Favourable","Unfavourable")</f>
        <v/>
      </c>
    </row>
    <row r="8" ht="26" customHeight="1">
      <c r="A8" s="8" t="inlineStr">
        <is>
          <t>Investment and other income</t>
        </is>
      </c>
      <c r="B8" s="9">
        <f>'Source data'!F10*(1+'Budget basis'!$C$15)-B6-B7</f>
        <v/>
      </c>
      <c r="C8" s="10">
        <f>'Source data'!G8+'Source data'!G9</f>
        <v/>
      </c>
      <c r="D8" s="11">
        <f>C8-B8</f>
        <v/>
      </c>
      <c r="E8" s="12">
        <f>IF(B8=0,"n/a",D8/ABS(B8))</f>
        <v/>
      </c>
      <c r="F8" s="13">
        <f>IF(D8&gt;0,"Favourable","Unfavourable")</f>
        <v/>
      </c>
      <c r="G8" s="14" t="inlineStr">
        <is>
          <t>Actual combines investment income with the fundraising-event netting line so the two columns are measured on the same basis.</t>
        </is>
      </c>
    </row>
    <row r="9">
      <c r="A9" s="15" t="inlineStr">
        <is>
          <t>Total revenue</t>
        </is>
      </c>
      <c r="B9" s="16">
        <f>SUM(B6:B8)</f>
        <v/>
      </c>
      <c r="C9" s="17">
        <f>'Source data'!G10</f>
        <v/>
      </c>
      <c r="D9" s="18">
        <f>C9-B9</f>
        <v/>
      </c>
      <c r="E9" s="19">
        <f>IF(B9=0,"n/a",D9/ABS(B9))</f>
        <v/>
      </c>
      <c r="F9" s="13">
        <f>IF(D9&gt;0,"Favourable","Unfavourable")</f>
        <v/>
      </c>
    </row>
    <row r="11" ht="18" customHeight="1">
      <c r="A11" s="6" t="inlineStr">
        <is>
          <t>Expenses</t>
        </is>
      </c>
      <c r="B11" s="7" t="n"/>
      <c r="C11" s="7" t="n"/>
      <c r="D11" s="7" t="n"/>
      <c r="E11" s="7" t="n"/>
      <c r="F11" s="7" t="n"/>
      <c r="G11" s="7" t="n"/>
    </row>
    <row r="12" ht="26" customHeight="1">
      <c r="A12" s="8" t="inlineStr">
        <is>
          <t>Program services</t>
        </is>
      </c>
      <c r="B12" s="9">
        <f>'Source data'!F11*(1+'Budget basis'!$C$16)*'Source data'!F20</f>
        <v/>
      </c>
      <c r="C12" s="10">
        <f>'Source data'!G25</f>
        <v/>
      </c>
      <c r="D12" s="11">
        <f>C12-B12</f>
        <v/>
      </c>
      <c r="E12" s="12">
        <f>IF(B12=0,"n/a",D12/ABS(B12))</f>
        <v/>
      </c>
      <c r="F12" s="13">
        <f>IF(D12&lt;0,"Favourable","Unfavourable")</f>
        <v/>
      </c>
      <c r="G12" s="14" t="inlineStr">
        <is>
          <t>Budget applies the FY2023 functional split to the grown expense base.</t>
        </is>
      </c>
    </row>
    <row r="13">
      <c r="A13" s="8" t="inlineStr">
        <is>
          <t>Management and general</t>
        </is>
      </c>
      <c r="B13" s="9">
        <f>'Source data'!F11*(1+'Budget basis'!$C$16)*'Source data'!F21</f>
        <v/>
      </c>
      <c r="C13" s="10">
        <f>'Source data'!G26</f>
        <v/>
      </c>
      <c r="D13" s="11">
        <f>C13-B13</f>
        <v/>
      </c>
      <c r="E13" s="12">
        <f>IF(B13=0,"n/a",D13/ABS(B13))</f>
        <v/>
      </c>
      <c r="F13" s="13">
        <f>IF(D13&lt;0,"Favourable","Unfavourable")</f>
        <v/>
      </c>
    </row>
    <row r="14">
      <c r="A14" s="8" t="inlineStr">
        <is>
          <t>Fundraising</t>
        </is>
      </c>
      <c r="B14" s="9">
        <f>'Source data'!F11*(1+'Budget basis'!$C$16)*'Source data'!F22</f>
        <v/>
      </c>
      <c r="C14" s="10">
        <f>'Source data'!G27</f>
        <v/>
      </c>
      <c r="D14" s="11">
        <f>C14-B14</f>
        <v/>
      </c>
      <c r="E14" s="12">
        <f>IF(B14=0,"n/a",D14/ABS(B14))</f>
        <v/>
      </c>
      <c r="F14" s="13">
        <f>IF(D14&lt;0,"Favourable","Unfavourable")</f>
        <v/>
      </c>
    </row>
    <row r="15">
      <c r="A15" s="15" t="inlineStr">
        <is>
          <t>Total expenses</t>
        </is>
      </c>
      <c r="B15" s="16">
        <f>SUM(B12:B14)</f>
        <v/>
      </c>
      <c r="C15" s="17">
        <f>'Source data'!G11</f>
        <v/>
      </c>
      <c r="D15" s="18">
        <f>C15-B15</f>
        <v/>
      </c>
      <c r="E15" s="19">
        <f>IF(B15=0,"n/a",D15/ABS(B15))</f>
        <v/>
      </c>
      <c r="F15" s="13">
        <f>IF(D15&lt;0,"Favourable","Unfavourable")</f>
        <v/>
      </c>
    </row>
    <row r="17" ht="18" customHeight="1">
      <c r="A17" s="6" t="inlineStr">
        <is>
          <t>Natural classification (memo)</t>
        </is>
      </c>
      <c r="B17" s="7" t="n"/>
      <c r="C17" s="7" t="n"/>
      <c r="D17" s="7" t="n"/>
      <c r="E17" s="7" t="n"/>
      <c r="F17" s="7" t="n"/>
      <c r="G17" s="7" t="n"/>
    </row>
    <row r="18" ht="26" customHeight="1">
      <c r="A18" s="8" t="inlineStr">
        <is>
          <t>Personnel</t>
        </is>
      </c>
      <c r="B18" s="9">
        <f>'Source data'!F11*(1+'Budget basis'!$C$16)*('Source data'!F12+'Source data'!F13+'Source data'!F14+('Source data'!F12+'Source data'!F13)*0.1)/'Source data'!F11</f>
        <v/>
      </c>
      <c r="C18" s="10">
        <f>'Source data'!G12+'Source data'!G13+'Source data'!G14+('Source data'!G12+'Source data'!G13)*0.1</f>
        <v/>
      </c>
      <c r="D18" s="11">
        <f>C18-B18</f>
        <v/>
      </c>
      <c r="E18" s="12">
        <f>IF(B18=0,"n/a",D18/ABS(B18))</f>
        <v/>
      </c>
      <c r="F18" s="13">
        <f>IF(D18&lt;0,"Favourable","Unfavourable")</f>
        <v/>
      </c>
      <c r="G18" s="14" t="inlineStr">
        <is>
          <t>Budget holds the FY2023 personnel share of expenses constant.</t>
        </is>
      </c>
    </row>
    <row r="19">
      <c r="A19" s="8" t="inlineStr">
        <is>
          <t>Non-personnel</t>
        </is>
      </c>
      <c r="B19" s="9">
        <f>B15-B18</f>
        <v/>
      </c>
      <c r="C19" s="10">
        <f>C15-C18</f>
        <v/>
      </c>
      <c r="D19" s="11">
        <f>C19-B19</f>
        <v/>
      </c>
      <c r="E19" s="12">
        <f>IF(B19=0,"n/a",D19/ABS(B19))</f>
        <v/>
      </c>
      <c r="F19" s="13">
        <f>IF(D19&lt;0,"Favourable","Unfavourable")</f>
        <v/>
      </c>
    </row>
    <row r="21" ht="18" customHeight="1">
      <c r="A21" s="6" t="inlineStr">
        <is>
          <t>Result</t>
        </is>
      </c>
      <c r="B21" s="7" t="n"/>
      <c r="C21" s="7" t="n"/>
      <c r="D21" s="7" t="n"/>
      <c r="E21" s="7" t="n"/>
      <c r="F21" s="7" t="n"/>
      <c r="G21" s="7" t="n"/>
    </row>
    <row r="22">
      <c r="A22" s="15" t="inlineStr">
        <is>
          <t>Operating surplus / (deficit)</t>
        </is>
      </c>
      <c r="B22" s="16">
        <f>B9-B15</f>
        <v/>
      </c>
      <c r="C22" s="17">
        <f>C9-C15</f>
        <v/>
      </c>
      <c r="D22" s="18">
        <f>C22-B22</f>
        <v/>
      </c>
      <c r="E22" s="19">
        <f>IF(B22=0,"n/a",D22/ABS(B22))</f>
        <v/>
      </c>
      <c r="F22" s="13">
        <f>IF(D22&gt;0,"Favourable","Unfavourable")</f>
        <v/>
      </c>
    </row>
    <row r="23">
      <c r="A23" s="8" t="inlineStr">
        <is>
          <t>Operating margin</t>
        </is>
      </c>
      <c r="B23" s="20">
        <f>B22/B9</f>
        <v/>
      </c>
      <c r="C23" s="21">
        <f>C22/C9</f>
        <v/>
      </c>
      <c r="D23" s="12">
        <f>C23-B23</f>
        <v/>
      </c>
      <c r="E23" s="12">
        <f>IF(B23=0,"n/a",D23/ABS(B23))</f>
        <v/>
      </c>
      <c r="F23" s="13">
        <f>IF(D23&gt;0,"Favourable","Unfavourable")</f>
        <v/>
      </c>
    </row>
    <row r="24">
      <c r="A24" s="8" t="inlineStr">
        <is>
          <t>Program expense ratio</t>
        </is>
      </c>
      <c r="B24" s="20">
        <f>B12/B15</f>
        <v/>
      </c>
      <c r="C24" s="21">
        <f>C12/C15</f>
        <v/>
      </c>
      <c r="D24" s="12">
        <f>C24-B24</f>
        <v/>
      </c>
      <c r="E24" s="12">
        <f>IF(B24=0,"n/a",D24/ABS(B24))</f>
        <v/>
      </c>
      <c r="F24" s="13">
        <f>IF(D24&gt;0,"Favourable","Unfavourable")</f>
        <v/>
      </c>
    </row>
    <row r="26" ht="18" customHeight="1">
      <c r="A26" s="6" t="inlineStr">
        <is>
          <t>Volume and unit cost</t>
        </is>
      </c>
      <c r="B26" s="7" t="n"/>
      <c r="C26" s="7" t="n"/>
      <c r="D26" s="7" t="n"/>
      <c r="E26" s="7" t="n"/>
      <c r="F26" s="7" t="n"/>
      <c r="G26" s="7" t="n"/>
    </row>
    <row r="27">
      <c r="A27" s="8" t="inlineStr">
        <is>
          <t>Participants served</t>
        </is>
      </c>
      <c r="B27" s="22">
        <f>'Source data'!F38*(1+'Budget basis'!$C$17)</f>
        <v/>
      </c>
      <c r="C27" s="23">
        <f>'Source data'!G38</f>
        <v/>
      </c>
      <c r="D27" s="24">
        <f>C27-B27</f>
        <v/>
      </c>
      <c r="E27" s="12">
        <f>IF(B27=0,"n/a",D27/ABS(B27))</f>
        <v/>
      </c>
      <c r="F27" s="13">
        <f>IF(D27&gt;0,"Favourable","Unfavourable")</f>
        <v/>
      </c>
    </row>
    <row r="28" ht="26" customHeight="1">
      <c r="A28" s="8" t="inlineStr">
        <is>
          <t>Successful outcomes</t>
        </is>
      </c>
      <c r="B28" s="22">
        <f>B27*('Source data'!F39/'Source data'!F38)</f>
        <v/>
      </c>
      <c r="C28" s="23">
        <f>'Source data'!G39</f>
        <v/>
      </c>
      <c r="D28" s="24">
        <f>C28-B28</f>
        <v/>
      </c>
      <c r="E28" s="12">
        <f>IF(B28=0,"n/a",D28/ABS(B28))</f>
        <v/>
      </c>
      <c r="F28" s="13">
        <f>IF(D28&gt;0,"Favourable","Unfavourable")</f>
        <v/>
      </c>
      <c r="G28" s="14" t="inlineStr">
        <is>
          <t>Budget holds the FY2023 outcome rate constant on the planned participant count.</t>
        </is>
      </c>
    </row>
    <row r="29">
      <c r="A29" s="8" t="inlineStr">
        <is>
          <t>Cost per participant</t>
        </is>
      </c>
      <c r="B29" s="25">
        <f>B12/B27</f>
        <v/>
      </c>
      <c r="C29" s="26">
        <f>C12/C27</f>
        <v/>
      </c>
      <c r="D29" s="27">
        <f>C29-B29</f>
        <v/>
      </c>
      <c r="E29" s="12">
        <f>IF(B29=0,"n/a",D29/ABS(B29))</f>
        <v/>
      </c>
      <c r="F29" s="13">
        <f>IF(D29&lt;0,"Favourable","Unfavourable")</f>
        <v/>
      </c>
    </row>
    <row r="30">
      <c r="A30" s="8" t="inlineStr">
        <is>
          <t>Cost per successful outcome</t>
        </is>
      </c>
      <c r="B30" s="25">
        <f>B12/B28</f>
        <v/>
      </c>
      <c r="C30" s="26">
        <f>C12/C28</f>
        <v/>
      </c>
      <c r="D30" s="27">
        <f>C30-B30</f>
        <v/>
      </c>
      <c r="E30" s="12">
        <f>IF(B30=0,"n/a",D30/ABS(B30))</f>
        <v/>
      </c>
      <c r="F30" s="13">
        <f>IF(D30&lt;0,"Favourable","Unfavourable")</f>
        <v/>
      </c>
    </row>
  </sheetData>
  <conditionalFormatting sqref="D9">
    <cfRule type="cellIs" priority="1" operator="lessThan" dxfId="0">
      <formula>0</formula>
    </cfRule>
  </conditionalFormatting>
  <conditionalFormatting sqref="D15">
    <cfRule type="cellIs" priority="2" operator="lessThan" dxfId="0">
      <formula>0</formula>
    </cfRule>
  </conditionalFormatting>
  <conditionalFormatting sqref="D22">
    <cfRule type="cellIs" priority="3" operator="lessThan" dxfId="0">
      <formula>0</formula>
    </cfRule>
  </conditionalFormatting>
  <conditionalFormatting sqref="D12">
    <cfRule type="cellIs" priority="4" operator="lessThan" dxfId="0">
      <formula>0</formula>
    </cfRule>
  </conditionalFormatting>
  <pageMargins left="0.75" right="0.75" top="1" bottom="1" header="0.5" footer="0.5"/>
</worksheet>
</file>

<file path=xl/worksheets/sheet2.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28" t="inlineStr">
        <is>
          <t>Contributions and grants</t>
        </is>
      </c>
      <c r="B6" s="29" t="n">
        <v>6528091</v>
      </c>
      <c r="C6" s="29" t="n">
        <v>6738370</v>
      </c>
      <c r="D6" s="29" t="n">
        <v>11624463</v>
      </c>
      <c r="E6" s="29" t="n">
        <v>18348946</v>
      </c>
      <c r="F6" s="29" t="n">
        <v>20709887</v>
      </c>
      <c r="G6" s="29" t="n">
        <v>26008174</v>
      </c>
      <c r="H6" s="30" t="inlineStr">
        <is>
          <t>PUBLIC</t>
        </is>
      </c>
    </row>
    <row r="7">
      <c r="A7" s="28" t="inlineStr">
        <is>
          <t>Program service revenue</t>
        </is>
      </c>
      <c r="B7" s="29" t="n">
        <v>353671</v>
      </c>
      <c r="C7" s="29" t="n">
        <v>304509</v>
      </c>
      <c r="D7" s="29" t="n">
        <v>383141</v>
      </c>
      <c r="E7" s="29" t="n">
        <v>1064285</v>
      </c>
      <c r="F7" s="29" t="n">
        <v>1066130</v>
      </c>
      <c r="G7" s="29" t="n">
        <v>1143216</v>
      </c>
      <c r="H7" s="30" t="inlineStr">
        <is>
          <t>PUBLIC</t>
        </is>
      </c>
    </row>
    <row r="8">
      <c r="A8" s="28" t="inlineStr">
        <is>
          <t>Investment and other income</t>
        </is>
      </c>
      <c r="B8" s="29" t="n">
        <v>3602</v>
      </c>
      <c r="C8" s="29" t="n">
        <v>21624</v>
      </c>
      <c r="D8" s="29" t="n">
        <v>237</v>
      </c>
      <c r="E8" s="29" t="n">
        <v>14416</v>
      </c>
      <c r="F8" s="29" t="n">
        <v>672813</v>
      </c>
      <c r="G8" s="29" t="n">
        <v>1429021</v>
      </c>
      <c r="H8" s="30" t="inlineStr">
        <is>
          <t>PUBLIC</t>
        </is>
      </c>
    </row>
    <row r="9">
      <c r="A9" s="28" t="inlineStr">
        <is>
          <t>Less: fundraising event costs and asset-sale losses</t>
        </is>
      </c>
      <c r="B9" s="29" t="n">
        <v>-135303</v>
      </c>
      <c r="C9" s="29" t="n">
        <v>-48199</v>
      </c>
      <c r="D9" s="29" t="n">
        <v>-34318</v>
      </c>
      <c r="E9" s="29" t="n">
        <v>-121695</v>
      </c>
      <c r="F9" s="29" t="n">
        <v>-57789</v>
      </c>
      <c r="G9" s="29" t="n">
        <v>0</v>
      </c>
      <c r="H9" s="31" t="inlineStr">
        <is>
          <t>DERIVED</t>
        </is>
      </c>
    </row>
    <row r="10">
      <c r="A10" s="32" t="inlineStr">
        <is>
          <t>Total revenue</t>
        </is>
      </c>
      <c r="B10" s="33" t="n">
        <v>6750061</v>
      </c>
      <c r="C10" s="33" t="n">
        <v>7016304</v>
      </c>
      <c r="D10" s="33" t="n">
        <v>11973523</v>
      </c>
      <c r="E10" s="33" t="n">
        <v>19305952</v>
      </c>
      <c r="F10" s="33" t="n">
        <v>22391041</v>
      </c>
      <c r="G10" s="33" t="n">
        <v>28580411</v>
      </c>
      <c r="H10" s="30" t="inlineStr">
        <is>
          <t>PUBLIC</t>
        </is>
      </c>
    </row>
    <row r="11">
      <c r="A11" s="32" t="inlineStr">
        <is>
          <t>Total functional expenses</t>
        </is>
      </c>
      <c r="B11" s="33" t="n">
        <v>5531091</v>
      </c>
      <c r="C11" s="33" t="n">
        <v>5670504</v>
      </c>
      <c r="D11" s="33" t="n">
        <v>6893690</v>
      </c>
      <c r="E11" s="33" t="n">
        <v>9316393</v>
      </c>
      <c r="F11" s="33" t="n">
        <v>13659379</v>
      </c>
      <c r="G11" s="33" t="n">
        <v>18275646</v>
      </c>
      <c r="H11" s="30" t="inlineStr">
        <is>
          <t>PUBLIC</t>
        </is>
      </c>
    </row>
    <row r="12">
      <c r="A12" s="28" t="inlineStr">
        <is>
          <t>Officer compensation</t>
        </is>
      </c>
      <c r="B12" s="29" t="n">
        <v>336307</v>
      </c>
      <c r="C12" s="29" t="n">
        <v>348404</v>
      </c>
      <c r="D12" s="29" t="n">
        <v>537859</v>
      </c>
      <c r="E12" s="29" t="n">
        <v>642262</v>
      </c>
      <c r="F12" s="29" t="n">
        <v>502983</v>
      </c>
      <c r="G12" s="29" t="n">
        <v>1026038</v>
      </c>
      <c r="H12" s="30" t="inlineStr">
        <is>
          <t>PUBLIC</t>
        </is>
      </c>
    </row>
    <row r="13">
      <c r="A13" s="28" t="inlineStr">
        <is>
          <t>Other salaries and wages</t>
        </is>
      </c>
      <c r="B13" s="29" t="n">
        <v>3257098</v>
      </c>
      <c r="C13" s="29" t="n">
        <v>3406913</v>
      </c>
      <c r="D13" s="29" t="n">
        <v>3755210</v>
      </c>
      <c r="E13" s="29" t="n">
        <v>5321071</v>
      </c>
      <c r="F13" s="29" t="n">
        <v>7253251</v>
      </c>
      <c r="G13" s="29" t="n">
        <v>9234306</v>
      </c>
      <c r="H13" s="30" t="inlineStr">
        <is>
          <t>PUBLIC</t>
        </is>
      </c>
    </row>
    <row r="14">
      <c r="A14" s="28" t="inlineStr">
        <is>
          <t>Payroll taxes</t>
        </is>
      </c>
      <c r="B14" s="29" t="n">
        <v>283482</v>
      </c>
      <c r="C14" s="29" t="n">
        <v>290730</v>
      </c>
      <c r="D14" s="29" t="n">
        <v>339149</v>
      </c>
      <c r="E14" s="29" t="n">
        <v>454590</v>
      </c>
      <c r="F14" s="29" t="n">
        <v>606465</v>
      </c>
      <c r="G14" s="29" t="n">
        <v>800307</v>
      </c>
      <c r="H14" s="30" t="inlineStr">
        <is>
          <t>PUBLIC</t>
        </is>
      </c>
    </row>
    <row r="15">
      <c r="A15" s="28" t="inlineStr">
        <is>
          <t>Total assets</t>
        </is>
      </c>
      <c r="B15" s="29" t="n">
        <v>4915534</v>
      </c>
      <c r="C15" s="29" t="n">
        <v>7157462</v>
      </c>
      <c r="D15" s="29" t="n">
        <v>12593796</v>
      </c>
      <c r="E15" s="29" t="n">
        <v>23406064</v>
      </c>
      <c r="F15" s="29" t="n">
        <v>31782416</v>
      </c>
      <c r="G15" s="29" t="n">
        <v>42583791</v>
      </c>
      <c r="H15" s="30" t="inlineStr">
        <is>
          <t>PUBLIC</t>
        </is>
      </c>
    </row>
    <row r="16">
      <c r="A16" s="28" t="inlineStr">
        <is>
          <t>Total liabilities</t>
        </is>
      </c>
      <c r="B16" s="29" t="n">
        <v>461151</v>
      </c>
      <c r="C16" s="29" t="n">
        <v>1357279</v>
      </c>
      <c r="D16" s="29" t="n">
        <v>1713780</v>
      </c>
      <c r="E16" s="29" t="n">
        <v>2536489</v>
      </c>
      <c r="F16" s="29" t="n">
        <v>2181179</v>
      </c>
      <c r="G16" s="29" t="n">
        <v>2676737</v>
      </c>
      <c r="H16" s="30" t="inlineStr">
        <is>
          <t>PUBLIC</t>
        </is>
      </c>
    </row>
    <row r="17">
      <c r="A17" s="34" t="inlineStr">
        <is>
          <t>Net assets</t>
        </is>
      </c>
      <c r="B17" s="18">
        <f>B15-B16</f>
        <v/>
      </c>
      <c r="C17" s="18">
        <f>C15-C16</f>
        <v/>
      </c>
      <c r="D17" s="18">
        <f>D15-D16</f>
        <v/>
      </c>
      <c r="E17" s="18">
        <f>E15-E16</f>
        <v/>
      </c>
      <c r="F17" s="18">
        <f>F15-F16</f>
        <v/>
      </c>
      <c r="G17" s="18">
        <f>G15-G16</f>
        <v/>
      </c>
      <c r="H17" s="31" t="inlineStr">
        <is>
          <t>DERIVED</t>
        </is>
      </c>
    </row>
    <row r="19" ht="18" customHeight="1">
      <c r="A19" s="6" t="inlineStr">
        <is>
          <t>Modelled functional expense split</t>
        </is>
      </c>
      <c r="B19" s="7" t="n"/>
      <c r="C19" s="7" t="n"/>
      <c r="D19" s="7" t="n"/>
      <c r="E19" s="7" t="n"/>
      <c r="F19" s="7" t="n"/>
      <c r="G19" s="7" t="n"/>
      <c r="H19" s="7" t="n"/>
      <c r="I19" s="7" t="n"/>
    </row>
    <row r="20">
      <c r="A20" s="28" t="inlineStr">
        <is>
          <t>Program services share</t>
        </is>
      </c>
      <c r="B20" s="35" t="n">
        <v>0.762</v>
      </c>
      <c r="C20" s="35" t="n">
        <v>0.768</v>
      </c>
      <c r="D20" s="35" t="n">
        <v>0.774</v>
      </c>
      <c r="E20" s="35" t="n">
        <v>0.78</v>
      </c>
      <c r="F20" s="35" t="n">
        <v>0.783</v>
      </c>
      <c r="G20" s="35" t="n">
        <v>0.785</v>
      </c>
      <c r="H20" s="36" t="inlineStr">
        <is>
          <t>SYNTHETIC</t>
        </is>
      </c>
    </row>
    <row r="21">
      <c r="A21" s="28" t="inlineStr">
        <is>
          <t>Management and general share</t>
        </is>
      </c>
      <c r="B21" s="35" t="n">
        <v>0.14</v>
      </c>
      <c r="C21" s="35" t="n">
        <v>0.137</v>
      </c>
      <c r="D21" s="35" t="n">
        <v>0.134</v>
      </c>
      <c r="E21" s="35" t="n">
        <v>0.129</v>
      </c>
      <c r="F21" s="35" t="n">
        <v>0.124</v>
      </c>
      <c r="G21" s="35" t="n">
        <v>0.12</v>
      </c>
      <c r="H21" s="36" t="inlineStr">
        <is>
          <t>SYNTHETIC</t>
        </is>
      </c>
    </row>
    <row r="22">
      <c r="A22" s="28" t="inlineStr">
        <is>
          <t>Fundraising share</t>
        </is>
      </c>
      <c r="B22" s="35" t="n">
        <v>0.098</v>
      </c>
      <c r="C22" s="35" t="n">
        <v>0.095</v>
      </c>
      <c r="D22" s="35" t="n">
        <v>0.092</v>
      </c>
      <c r="E22" s="35" t="n">
        <v>0.091</v>
      </c>
      <c r="F22" s="35" t="n">
        <v>0.093</v>
      </c>
      <c r="G22" s="35" t="n">
        <v>0.095</v>
      </c>
      <c r="H22" s="36" t="inlineStr">
        <is>
          <t>SYNTHETIC</t>
        </is>
      </c>
    </row>
    <row r="24" ht="18" customHeight="1">
      <c r="A24" s="6" t="inlineStr">
        <is>
          <t>Derived expense lines</t>
        </is>
      </c>
      <c r="B24" s="7" t="n"/>
      <c r="C24" s="7" t="n"/>
      <c r="D24" s="7" t="n"/>
      <c r="E24" s="7" t="n"/>
      <c r="F24" s="7" t="n"/>
      <c r="G24" s="7" t="n"/>
      <c r="H24" s="7" t="n"/>
      <c r="I24" s="7" t="n"/>
    </row>
    <row r="25">
      <c r="A25" s="28" t="inlineStr">
        <is>
          <t>Program services</t>
        </is>
      </c>
      <c r="B25" s="11">
        <f>B11*B20</f>
        <v/>
      </c>
      <c r="C25" s="11">
        <f>C11*C20</f>
        <v/>
      </c>
      <c r="D25" s="11">
        <f>D11*D20</f>
        <v/>
      </c>
      <c r="E25" s="11">
        <f>E11*E20</f>
        <v/>
      </c>
      <c r="F25" s="11">
        <f>F11*F20</f>
        <v/>
      </c>
      <c r="G25" s="11">
        <f>G11*G20</f>
        <v/>
      </c>
    </row>
    <row r="26">
      <c r="A26" s="28" t="inlineStr">
        <is>
          <t>Management and general</t>
        </is>
      </c>
      <c r="B26" s="11">
        <f>B11*B21</f>
        <v/>
      </c>
      <c r="C26" s="11">
        <f>C11*C21</f>
        <v/>
      </c>
      <c r="D26" s="11">
        <f>D11*D21</f>
        <v/>
      </c>
      <c r="E26" s="11">
        <f>E11*E21</f>
        <v/>
      </c>
      <c r="F26" s="11">
        <f>F11*F21</f>
        <v/>
      </c>
      <c r="G26" s="11">
        <f>G11*G21</f>
        <v/>
      </c>
    </row>
    <row r="27">
      <c r="A27" s="28" t="inlineStr">
        <is>
          <t>Fundraising</t>
        </is>
      </c>
      <c r="B27" s="11">
        <f>B11*B22</f>
        <v/>
      </c>
      <c r="C27" s="11">
        <f>C11*C22</f>
        <v/>
      </c>
      <c r="D27" s="11">
        <f>D11*D22</f>
        <v/>
      </c>
      <c r="E27" s="11">
        <f>E11*E22</f>
        <v/>
      </c>
      <c r="F27" s="11">
        <f>F11*F22</f>
        <v/>
      </c>
      <c r="G27" s="11">
        <f>G11*G22</f>
        <v/>
      </c>
    </row>
    <row r="29" ht="18" customHeight="1">
      <c r="A29" s="6" t="inlineStr">
        <is>
          <t>Interpolation anchors (published observations)</t>
        </is>
      </c>
      <c r="B29" s="7" t="n"/>
      <c r="C29" s="7" t="n"/>
      <c r="D29" s="7" t="n"/>
      <c r="E29" s="7" t="n"/>
      <c r="F29" s="7" t="n"/>
      <c r="G29" s="7" t="n"/>
      <c r="H29" s="7" t="n"/>
      <c r="I29" s="7" t="n"/>
    </row>
    <row r="30">
      <c r="A30" s="28" t="inlineStr">
        <is>
          <t>2022 participants</t>
        </is>
      </c>
      <c r="B30" s="29" t="n">
        <v>7041</v>
      </c>
      <c r="H30" s="30" t="inlineStr">
        <is>
          <t>PUBLIC</t>
        </is>
      </c>
    </row>
    <row r="31">
      <c r="A31" s="28" t="inlineStr">
        <is>
          <t>2025 participants</t>
        </is>
      </c>
      <c r="B31" s="29" t="n">
        <v>13350</v>
      </c>
      <c r="H31" s="30" t="inlineStr">
        <is>
          <t>PUBLIC</t>
        </is>
      </c>
    </row>
    <row r="32">
      <c r="A32" s="28" t="inlineStr">
        <is>
          <t>Participant growth per year</t>
        </is>
      </c>
      <c r="B32" s="37">
        <f>(B31/B30)^(1/3)-1</f>
        <v/>
      </c>
      <c r="H32" s="31" t="inlineStr">
        <is>
          <t>DERIVED</t>
        </is>
      </c>
    </row>
    <row r="33">
      <c r="A33" s="28" t="inlineStr">
        <is>
          <t>2022 placements</t>
        </is>
      </c>
      <c r="B33" s="29" t="n">
        <v>1116</v>
      </c>
      <c r="H33" s="30" t="inlineStr">
        <is>
          <t>PUBLIC</t>
        </is>
      </c>
    </row>
    <row r="34">
      <c r="A34" s="28" t="inlineStr">
        <is>
          <t>2025 placements</t>
        </is>
      </c>
      <c r="B34" s="29" t="n">
        <v>1730</v>
      </c>
      <c r="H34" s="30" t="inlineStr">
        <is>
          <t>PUBLIC</t>
        </is>
      </c>
    </row>
    <row r="35">
      <c r="A35" s="28" t="inlineStr">
        <is>
          <t>Placement growth per year</t>
        </is>
      </c>
      <c r="B35" s="37">
        <f>(B34/B33)^(1/3)-1</f>
        <v/>
      </c>
      <c r="H35" s="31" t="inlineStr">
        <is>
          <t>DERIVED</t>
        </is>
      </c>
    </row>
    <row r="37" ht="18" customHeight="1">
      <c r="A37" s="6" t="inlineStr">
        <is>
          <t>Program volume</t>
        </is>
      </c>
      <c r="B37" s="7" t="n"/>
      <c r="C37" s="7" t="n"/>
      <c r="D37" s="7" t="n"/>
      <c r="E37" s="7" t="n"/>
      <c r="F37" s="7" t="n"/>
      <c r="G37" s="7" t="n"/>
      <c r="H37" s="7" t="n"/>
      <c r="I37" s="7" t="n"/>
    </row>
    <row r="38">
      <c r="A38" s="28" t="inlineStr">
        <is>
          <t>Participants served</t>
        </is>
      </c>
      <c r="B38" s="38">
        <f>$B$30*(1+$B$32)^(2019-2022)</f>
        <v/>
      </c>
      <c r="C38" s="38">
        <f>$B$30*(1+$B$32)^(2020-2022)</f>
        <v/>
      </c>
      <c r="D38" s="38">
        <f>$B$30*(1+$B$32)^(2021-2022)</f>
        <v/>
      </c>
      <c r="E38" s="38">
        <f>$B$30*(1+$B$32)^(2022-2022)</f>
        <v/>
      </c>
      <c r="F38" s="38">
        <f>$B$30*(1+$B$32)^(2023-2022)</f>
        <v/>
      </c>
      <c r="G38" s="38">
        <f>$B$30*(1+$B$32)^(2024-2022)</f>
        <v/>
      </c>
      <c r="H38" s="31" t="inlineStr">
        <is>
          <t>DERIVED</t>
        </is>
      </c>
    </row>
    <row r="39">
      <c r="A39" s="28" t="inlineStr">
        <is>
          <t>Successful outcomes</t>
        </is>
      </c>
      <c r="B39" s="38">
        <f>$B$33*(1+$B$35)^(2019-2022)</f>
        <v/>
      </c>
      <c r="C39" s="38">
        <f>$B$33*(1+$B$35)^(2020-2022)</f>
        <v/>
      </c>
      <c r="D39" s="38">
        <f>$B$33*(1+$B$35)^(2021-2022)</f>
        <v/>
      </c>
      <c r="E39" s="38">
        <f>$B$33*(1+$B$35)^(2022-2022)</f>
        <v/>
      </c>
      <c r="F39" s="38">
        <f>$B$33*(1+$B$35)^(2023-2022)</f>
        <v/>
      </c>
      <c r="G39" s="38">
        <f>$B$33*(1+$B$35)^(2024-2022)</f>
        <v/>
      </c>
      <c r="H39" s="31" t="inlineStr">
        <is>
          <t>DERIVED</t>
        </is>
      </c>
    </row>
    <row r="41" ht="39" customHeight="1">
      <c r="A41" s="39"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3.xml><?xml version="1.0" encoding="utf-8"?>
<worksheet xmlns="http://schemas.openxmlformats.org/spreadsheetml/2006/main">
  <sheetPr>
    <tabColor rgb="009A3412"/>
    <outlinePr summaryBelow="1" summaryRight="1"/>
    <pageSetUpPr/>
  </sheetPr>
  <dimension ref="A1:E19"/>
  <sheetViews>
    <sheetView showGridLines="0" workbookViewId="0">
      <selection activeCell="A1" sqref="A1"/>
    </sheetView>
  </sheetViews>
  <sheetFormatPr baseColWidth="8" defaultRowHeight="15"/>
  <cols>
    <col width="4" customWidth="1" min="1" max="1"/>
    <col width="46" customWidth="1" min="2" max="2"/>
    <col width="18" customWidth="1" min="3" max="3"/>
    <col width="14" customWidth="1" min="4" max="4"/>
    <col width="74" customWidth="1" min="5" max="5"/>
  </cols>
  <sheetData>
    <row r="1" ht="24" customHeight="1">
      <c r="A1" s="1" t="inlineStr">
        <is>
          <t>Budget basis  -  reconstructed, not filed</t>
        </is>
      </c>
    </row>
    <row r="2">
      <c r="A2" s="2" t="inlineStr">
        <is>
          <t>There is no public FY2024 budget for this organization. This sheet builds one, states exactly how, and labels it a simulation everywhere it appears.</t>
        </is>
      </c>
    </row>
    <row r="3">
      <c r="A3" s="3" t="n"/>
      <c r="B3" s="3" t="n"/>
      <c r="C3" s="3" t="n"/>
      <c r="D3" s="3" t="n"/>
      <c r="E3" s="3" t="n"/>
    </row>
    <row r="4" ht="32" customHeight="1">
      <c r="B4" s="40" t="inlineStr">
        <is>
          <t>SIMULATED BUDGET. Every budget figure in this workbook is constructed by the author. It is not the organization's approved budget and does not represent its plans. Only the actual column is real.</t>
        </is>
      </c>
    </row>
    <row r="6" ht="18" customHeight="1">
      <c r="A6" s="6" t="inlineStr">
        <is>
          <t>How the budget was constructed</t>
        </is>
      </c>
      <c r="B6" s="7" t="n"/>
      <c r="C6" s="7" t="n"/>
      <c r="D6" s="7" t="n"/>
      <c r="E6" s="7" t="n"/>
    </row>
    <row r="7" ht="26" customHeight="1">
      <c r="B7" s="15" t="inlineStr">
        <is>
          <t>Anchor</t>
        </is>
      </c>
      <c r="E7" s="41" t="inlineStr">
        <is>
          <t>FY2023 actual, as filed. A board approving a FY2024 budget in late FY2023 would have had the FY2023 result in front of it and little else.</t>
        </is>
      </c>
    </row>
    <row r="8" ht="52" customHeight="1">
      <c r="B8" s="15" t="inlineStr">
        <is>
          <t>Revenue</t>
        </is>
      </c>
      <c r="E8" s="41" t="inlineStr">
        <is>
          <t>Planned to grow 12% on FY2023. The organization had just come through two years of 60%-plus growth driven by humanitarian response funding, and a finance committee would reasonably assume that could not repeat. Twelve percent is deliberately cautious relative to recent experience.</t>
        </is>
      </c>
    </row>
    <row r="9" ht="39" customHeight="1">
      <c r="B9" s="15" t="inlineStr">
        <is>
          <t>Expenses</t>
        </is>
      </c>
      <c r="E9" s="41" t="inlineStr">
        <is>
          <t>Planned to grow 26%, roughly double the revenue plan. This is the deliberate deployment of accumulated reserve into program capacity, which is exactly what a board sitting on two years of expenses in net assets would instruct management to do.</t>
        </is>
      </c>
    </row>
    <row r="10" ht="26" customHeight="1">
      <c r="B10" s="15" t="inlineStr">
        <is>
          <t>Volume</t>
        </is>
      </c>
      <c r="E10" s="41" t="inlineStr">
        <is>
          <t>Participants planned to grow 18%, ahead of the expense plan, on the assumption that expansion comes partly through lower-cost digital channels.</t>
        </is>
      </c>
    </row>
    <row r="11" ht="26" customHeight="1">
      <c r="B11" s="15" t="inlineStr">
        <is>
          <t>Mix</t>
        </is>
      </c>
      <c r="E11" s="41" t="inlineStr">
        <is>
          <t>Revenue and expense category splits held at their FY2023 proportions. A budget built a year ahead would not usually re-forecast mix in detail.</t>
        </is>
      </c>
    </row>
    <row r="13" ht="18" customHeight="1">
      <c r="A13" s="6" t="inlineStr">
        <is>
          <t>Budget drivers</t>
        </is>
      </c>
      <c r="B13" s="7" t="n"/>
      <c r="C13" s="7" t="n"/>
      <c r="D13" s="7" t="n"/>
      <c r="E13" s="7" t="n"/>
    </row>
    <row r="14" ht="30" customHeight="1">
      <c r="A14" s="4" t="inlineStr"/>
      <c r="B14" s="5" t="inlineStr">
        <is>
          <t>Driver</t>
        </is>
      </c>
      <c r="C14" s="5" t="inlineStr">
        <is>
          <t>Value</t>
        </is>
      </c>
      <c r="D14" s="5" t="inlineStr">
        <is>
          <t>Tier</t>
        </is>
      </c>
      <c r="E14" s="5" t="inlineStr">
        <is>
          <t>Note</t>
        </is>
      </c>
    </row>
    <row r="15">
      <c r="B15" s="8" t="inlineStr">
        <is>
          <t>Revenue growth on FY2023</t>
        </is>
      </c>
      <c r="C15" s="35" t="n">
        <v>0.12</v>
      </c>
      <c r="D15" s="36" t="inlineStr">
        <is>
          <t>SYNTHETIC</t>
        </is>
      </c>
    </row>
    <row r="16">
      <c r="B16" s="8" t="inlineStr">
        <is>
          <t>Expense growth on FY2023</t>
        </is>
      </c>
      <c r="C16" s="35" t="n">
        <v>0.26</v>
      </c>
      <c r="D16" s="36" t="inlineStr">
        <is>
          <t>SYNTHETIC</t>
        </is>
      </c>
    </row>
    <row r="17">
      <c r="B17" s="8" t="inlineStr">
        <is>
          <t>Participant growth on FY2023</t>
        </is>
      </c>
      <c r="C17" s="35" t="n">
        <v>0.18</v>
      </c>
      <c r="D17" s="36" t="inlineStr">
        <is>
          <t>SYNTHETIC</t>
        </is>
      </c>
    </row>
    <row r="19" ht="30" customHeight="1">
      <c r="A19" s="42"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2">
    <mergeCell ref="A19:E19"/>
    <mergeCell ref="B4:E4"/>
  </mergeCells>
  <pageMargins left="0.75" right="0.75" top="1" bottom="1" header="0.5" footer="0.5"/>
</worksheet>
</file>

<file path=xl/worksheets/sheet4.xml><?xml version="1.0" encoding="utf-8"?>
<worksheet xmlns="http://schemas.openxmlformats.org/spreadsheetml/2006/main">
  <sheetPr>
    <tabColor rgb="000B6E4F"/>
    <outlinePr summaryBelow="1" summaryRight="1"/>
    <pageSetUpPr/>
  </sheetPr>
  <dimension ref="A1:E39"/>
  <sheetViews>
    <sheetView showGridLines="0" workbookViewId="0">
      <selection activeCell="A1" sqref="A1"/>
    </sheetView>
  </sheetViews>
  <sheetFormatPr baseColWidth="8" defaultRowHeight="15"/>
  <cols>
    <col width="46" customWidth="1" min="1" max="1"/>
    <col width="18" customWidth="1" min="2" max="2"/>
    <col width="18" customWidth="1" min="3" max="3"/>
    <col width="14" customWidth="1" min="4" max="4"/>
    <col width="66" customWidth="1" min="5" max="5"/>
  </cols>
  <sheetData>
    <row r="1" ht="24" customHeight="1">
      <c r="A1" s="1" t="inlineStr">
        <is>
          <t>Variance decomposition</t>
        </is>
      </c>
    </row>
    <row r="2">
      <c r="A2" s="2" t="inlineStr">
        <is>
          <t>Splitting each variance into the part caused by doing more or less, and the part caused by each unit costing more or less. Without this split a variance number cannot be acted on.</t>
        </is>
      </c>
    </row>
    <row r="3">
      <c r="A3" s="3" t="n"/>
      <c r="B3" s="3" t="n"/>
      <c r="C3" s="3" t="n"/>
      <c r="D3" s="3" t="n"/>
      <c r="E3" s="3" t="n"/>
    </row>
    <row r="4" ht="18" customHeight="1">
      <c r="A4" s="6" t="inlineStr">
        <is>
          <t>Program cost variance bridge</t>
        </is>
      </c>
      <c r="B4" s="7" t="n"/>
      <c r="C4" s="7" t="n"/>
      <c r="D4" s="7" t="n"/>
      <c r="E4" s="7" t="n"/>
    </row>
    <row r="5" ht="30" customHeight="1">
      <c r="A5" s="4" t="inlineStr">
        <is>
          <t>Component</t>
        </is>
      </c>
      <c r="B5" s="5" t="inlineStr">
        <is>
          <t>Amount</t>
        </is>
      </c>
      <c r="C5" s="5" t="inlineStr"/>
      <c r="D5" s="5" t="inlineStr"/>
      <c r="E5" s="5" t="inlineStr">
        <is>
          <t>How it is calculated</t>
        </is>
      </c>
    </row>
    <row r="6">
      <c r="A6" s="8" t="inlineStr">
        <is>
          <t>Budgeted program cost</t>
        </is>
      </c>
      <c r="B6" s="11">
        <f>'Budget vs actual'!B12</f>
        <v/>
      </c>
    </row>
    <row r="7">
      <c r="A7" s="8" t="inlineStr">
        <is>
          <t>Budgeted participants</t>
        </is>
      </c>
      <c r="B7" s="24">
        <f>'Budget vs actual'!B27</f>
        <v/>
      </c>
    </row>
    <row r="8">
      <c r="A8" s="8" t="inlineStr">
        <is>
          <t>Budgeted cost per participant</t>
        </is>
      </c>
      <c r="B8" s="27">
        <f>'Budget vs actual'!B29</f>
        <v/>
      </c>
    </row>
    <row r="9">
      <c r="A9" s="8" t="inlineStr">
        <is>
          <t>Actual participants</t>
        </is>
      </c>
      <c r="B9" s="24">
        <f>'Budget vs actual'!C27</f>
        <v/>
      </c>
    </row>
    <row r="10">
      <c r="A10" s="8" t="inlineStr">
        <is>
          <t>Actual cost per participant</t>
        </is>
      </c>
      <c r="B10" s="27">
        <f>'Budget vs actual'!C29</f>
        <v/>
      </c>
    </row>
    <row r="11">
      <c r="A11" s="8" t="inlineStr">
        <is>
          <t>Actual program cost</t>
        </is>
      </c>
      <c r="B11" s="11">
        <f>'Budget vs actual'!C12</f>
        <v/>
      </c>
    </row>
    <row r="13">
      <c r="A13" s="15" t="inlineStr">
        <is>
          <t>Total program cost variance</t>
        </is>
      </c>
      <c r="B13" s="18">
        <f>B11-B6</f>
        <v/>
      </c>
    </row>
    <row r="14" ht="26" customHeight="1">
      <c r="A14" s="8" t="inlineStr">
        <is>
          <t>Volume variance</t>
        </is>
      </c>
      <c r="B14" s="11">
        <f>(B9-B7)*B8</f>
        <v/>
      </c>
      <c r="E14" s="14" t="inlineStr">
        <is>
          <t>Change in participants, valued at the BUDGETED cost per participant. This is the cost of doing more or less than planned.</t>
        </is>
      </c>
    </row>
    <row r="15" ht="26" customHeight="1">
      <c r="A15" s="8" t="inlineStr">
        <is>
          <t>Rate variance</t>
        </is>
      </c>
      <c r="B15" s="11">
        <f>(B10-B8)*B9</f>
        <v/>
      </c>
      <c r="E15" s="14" t="inlineStr">
        <is>
          <t>Change in cost per participant, valued at ACTUAL participants. This is the cost of each unit being more or less expensive than planned.</t>
        </is>
      </c>
    </row>
    <row r="16" ht="26" customHeight="1">
      <c r="A16" s="8" t="inlineStr">
        <is>
          <t>Check: volume plus rate equals total</t>
        </is>
      </c>
      <c r="B16" s="43">
        <f>IF(ABS(B14+B15-B13)&lt;1,"ok","CHECK")</f>
        <v/>
      </c>
      <c r="E16" s="14" t="inlineStr">
        <is>
          <t>The two effects must reconcile exactly. This ordering charges the interaction term to rate; the reverse convention is equally valid but must be stated, which is why it is stated here.</t>
        </is>
      </c>
    </row>
    <row r="18" ht="18" customHeight="1">
      <c r="A18" s="6" t="inlineStr">
        <is>
          <t>Funding variance by source</t>
        </is>
      </c>
      <c r="B18" s="7" t="n"/>
      <c r="C18" s="7" t="n"/>
      <c r="D18" s="7" t="n"/>
      <c r="E18" s="7" t="n"/>
    </row>
    <row r="19" ht="30" customHeight="1">
      <c r="A19" s="4" t="inlineStr">
        <is>
          <t>Category</t>
        </is>
      </c>
      <c r="B19" s="5" t="inlineStr">
        <is>
          <t>Budget</t>
        </is>
      </c>
      <c r="C19" s="5" t="inlineStr">
        <is>
          <t>Actual</t>
        </is>
      </c>
      <c r="D19" s="5" t="inlineStr">
        <is>
          <t>Variance</t>
        </is>
      </c>
      <c r="E19" s="5" t="inlineStr">
        <is>
          <t>Note</t>
        </is>
      </c>
    </row>
    <row r="20">
      <c r="A20" s="28" t="inlineStr">
        <is>
          <t>Individual donations</t>
        </is>
      </c>
      <c r="B20" s="11">
        <f>'Budget vs actual'!B6*0.12</f>
        <v/>
      </c>
      <c r="C20" s="11">
        <f>'Budget vs actual'!C6*0.12</f>
        <v/>
      </c>
      <c r="D20" s="11">
        <f>C20-B20</f>
        <v/>
      </c>
    </row>
    <row r="21">
      <c r="A21" s="28" t="inlineStr">
        <is>
          <t>Corporate donations</t>
        </is>
      </c>
      <c r="B21" s="11">
        <f>'Budget vs actual'!B6*0.21</f>
        <v/>
      </c>
      <c r="C21" s="11">
        <f>'Budget vs actual'!C6*0.21</f>
        <v/>
      </c>
      <c r="D21" s="11">
        <f>C21-B21</f>
        <v/>
      </c>
    </row>
    <row r="22">
      <c r="A22" s="28" t="inlineStr">
        <is>
          <t>Foundation grants</t>
        </is>
      </c>
      <c r="B22" s="11">
        <f>'Budget vs actual'!B6*0.44</f>
        <v/>
      </c>
      <c r="C22" s="11">
        <f>'Budget vs actual'!C6*0.44</f>
        <v/>
      </c>
      <c r="D22" s="11">
        <f>C22-B22</f>
        <v/>
      </c>
    </row>
    <row r="23">
      <c r="A23" s="28" t="inlineStr">
        <is>
          <t>Government funding</t>
        </is>
      </c>
      <c r="B23" s="11">
        <f>'Budget vs actual'!B6*0.19</f>
        <v/>
      </c>
      <c r="C23" s="11">
        <f>'Budget vs actual'!C6*0.19</f>
        <v/>
      </c>
      <c r="D23" s="11">
        <f>C23-B23</f>
        <v/>
      </c>
    </row>
    <row r="24">
      <c r="A24" s="28" t="inlineStr">
        <is>
          <t>Fundraising events</t>
        </is>
      </c>
      <c r="B24" s="11">
        <f>'Budget vs actual'!B6*0.04</f>
        <v/>
      </c>
      <c r="C24" s="11">
        <f>'Budget vs actual'!C6*0.04</f>
        <v/>
      </c>
      <c r="D24" s="11">
        <f>C24-B24</f>
        <v/>
      </c>
    </row>
    <row r="25">
      <c r="A25" s="44" t="inlineStr">
        <is>
          <t>Total contributions variance</t>
        </is>
      </c>
      <c r="B25" s="45">
        <f>SUM(B20:B24)</f>
        <v/>
      </c>
      <c r="C25" s="45">
        <f>SUM(C20:C24)</f>
        <v/>
      </c>
      <c r="D25" s="45">
        <f>SUM(D20:D24)</f>
        <v/>
      </c>
    </row>
    <row r="26" ht="65" customHeight="1">
      <c r="A26" s="39" t="inlineStr">
        <is>
          <t>The category split is modelled at constant shares, so this table apportions the total contribution variance rather than explaining it. It is honest about what it can and cannot show: without the FY2024 Schedule B or a grants schedule, which funder moved is not publicly determinable.</t>
        </is>
      </c>
    </row>
    <row r="27" ht="18" customHeight="1">
      <c r="A27" s="6" t="inlineStr">
        <is>
          <t>Personnel variance</t>
        </is>
      </c>
      <c r="B27" s="7" t="n"/>
      <c r="C27" s="7" t="n"/>
      <c r="D27" s="7" t="n"/>
      <c r="E27" s="7" t="n"/>
    </row>
    <row r="28">
      <c r="A28" s="8" t="inlineStr">
        <is>
          <t>Budgeted personnel cost</t>
        </is>
      </c>
      <c r="B28" s="11">
        <f>'Budget vs actual'!B18</f>
        <v/>
      </c>
    </row>
    <row r="29">
      <c r="A29" s="8" t="inlineStr">
        <is>
          <t>Actual personnel cost</t>
        </is>
      </c>
      <c r="B29" s="11">
        <f>'Budget vs actual'!C18</f>
        <v/>
      </c>
    </row>
    <row r="30">
      <c r="A30" s="15" t="inlineStr">
        <is>
          <t>Total personnel variance</t>
        </is>
      </c>
      <c r="B30" s="18">
        <f>B29-B28</f>
        <v/>
      </c>
    </row>
    <row r="31">
      <c r="A31" s="8" t="inlineStr">
        <is>
          <t>Personnel as a share of expenses, budget</t>
        </is>
      </c>
      <c r="B31" s="12">
        <f>B28/'Budget vs actual'!B15</f>
        <v/>
      </c>
    </row>
    <row r="32" ht="26" customHeight="1">
      <c r="A32" s="8" t="inlineStr">
        <is>
          <t>Personnel as a share of expenses, actual</t>
        </is>
      </c>
      <c r="B32" s="12">
        <f>B29/'Budget vs actual'!C15</f>
        <v/>
      </c>
      <c r="E32" s="14" t="inlineStr">
        <is>
          <t>A personnel variance that is large in dollars but flat as a share of expenses is a scale story, not an efficiency story.</t>
        </is>
      </c>
    </row>
    <row r="34" ht="18" customHeight="1">
      <c r="A34" s="6" t="inlineStr">
        <is>
          <t>Cost per participant bridge</t>
        </is>
      </c>
      <c r="B34" s="7" t="n"/>
      <c r="C34" s="7" t="n"/>
      <c r="D34" s="7" t="n"/>
      <c r="E34" s="7" t="n"/>
    </row>
    <row r="35">
      <c r="A35" s="8" t="inlineStr">
        <is>
          <t>Budgeted cost per participant</t>
        </is>
      </c>
      <c r="B35" s="27">
        <f>B8</f>
        <v/>
      </c>
    </row>
    <row r="36" ht="26" customHeight="1">
      <c r="A36" s="8" t="inlineStr">
        <is>
          <t>Effect of fixed-cost absorption</t>
        </is>
      </c>
      <c r="B36" s="27">
        <f>-(B6/B7)*(1-B7/B9)</f>
        <v/>
      </c>
      <c r="E36" s="14" t="inlineStr">
        <is>
          <t>Spreading the planned program cost over a different number of participants. Negative means more participants diluted the fixed base.</t>
        </is>
      </c>
    </row>
    <row r="37">
      <c r="A37" s="8" t="inlineStr">
        <is>
          <t>Effect of total spend differing from plan</t>
        </is>
      </c>
      <c r="B37" s="27">
        <f>(B11-B6)/B9</f>
        <v/>
      </c>
    </row>
    <row r="38">
      <c r="A38" s="15" t="inlineStr">
        <is>
          <t>Actual cost per participant</t>
        </is>
      </c>
      <c r="B38" s="46">
        <f>B35+B36+B37</f>
        <v/>
      </c>
    </row>
    <row r="39">
      <c r="A39" s="8" t="inlineStr">
        <is>
          <t>Check: bridge ties to actual</t>
        </is>
      </c>
      <c r="B39" s="43">
        <f>IF(ABS(B38-B10)&lt;0.01,"ok","CHECK")</f>
        <v/>
      </c>
    </row>
  </sheetData>
  <mergeCells count="1">
    <mergeCell ref="A26:E26"/>
  </mergeCells>
  <pageMargins left="0.75" right="0.75" top="1" bottom="1" header="0.5" footer="0.5"/>
</worksheet>
</file>

<file path=xl/worksheets/sheet5.xml><?xml version="1.0" encoding="utf-8"?>
<worksheet xmlns="http://schemas.openxmlformats.org/spreadsheetml/2006/main">
  <sheetPr>
    <tabColor rgb="0012324F"/>
    <outlinePr summaryBelow="1" summaryRight="1"/>
    <pageSetUpPr/>
  </sheetPr>
  <dimension ref="A1:B25"/>
  <sheetViews>
    <sheetView showGridLines="0" workbookViewId="0">
      <selection activeCell="A1" sqref="A1"/>
    </sheetView>
  </sheetViews>
  <sheetFormatPr baseColWidth="8" defaultRowHeight="15"/>
  <cols>
    <col width="3" customWidth="1" min="1" max="1"/>
    <col width="112" customWidth="1" min="2" max="2"/>
  </cols>
  <sheetData>
    <row r="1" ht="24" customHeight="1">
      <c r="A1" s="1" t="inlineStr">
        <is>
          <t>Management commentary on FY2024 variances</t>
        </is>
      </c>
    </row>
    <row r="2">
      <c r="A2" s="2" t="inlineStr">
        <is>
          <t>Written against the reconstructed budget. Figures are quoted from the decomposition sheet.</t>
        </is>
      </c>
    </row>
    <row r="3">
      <c r="A3" s="3" t="n"/>
      <c r="B3" s="3" t="n"/>
    </row>
    <row r="4">
      <c r="B4" s="47" t="inlineStr">
        <is>
          <t>Headline</t>
        </is>
      </c>
    </row>
    <row r="5" ht="54" customHeight="1">
      <c r="B5" s="48" t="inlineStr">
        <is>
          <t>Revenue of $28,580,411 finished $3,502,445 (14.0%) ahead of the $25,077,966 plan. Expenses of $18,275,646 finished $1,064,828 (6.2%) above the $17,210,818 plan. The operating surplus of $10,304,765 was therefore $2,437,617 (31.0%) better than budgeted. On the face of it this is a good year. The decomposition below argues that the most important variance in the file is a small unfavourable one, not the large favourable one.</t>
        </is>
      </c>
    </row>
    <row r="7">
      <c r="B7" s="47" t="inlineStr">
        <is>
          <t>Quality of the revenue beat</t>
        </is>
      </c>
    </row>
    <row r="8" ht="67.5" customHeight="1">
      <c r="B8" s="48" t="inlineStr">
        <is>
          <t>Of the $3,502,445 revenue overperformance, $740,194 - 21.1% of it - is investment and other income, which came in 107.5% above plan simply because the accumulated reserve is large and returns were strong. That is a balance sheet outcome, not a fundraising one, and it will reverse if markets do. Contributions beat plan by $2,813,101 (12.1%), which is the number that reflects actual fundraising performance. Program service revenue was the one revenue line to miss, coming in $50,850 (4.3%) below plan.</t>
        </is>
      </c>
    </row>
    <row r="10">
      <c r="B10" s="47" t="inlineStr">
        <is>
          <t>Program cost variance, decomposed</t>
        </is>
      </c>
    </row>
    <row r="11" ht="81" customHeight="1">
      <c r="B11" s="48" t="inlineStr">
        <is>
          <t>Program services spending exceeded budget by $870,312 (6.5%). Splitting that into its two causes: $658,965, or 75.7% of the overrun, is volume - the organization served 10,786 participants against a plan of 10,283, 503 more people than budgeted, valued at the budgeted unit cost. The remaining $211,347 is rate: cost per participant came in at $1,330 against $1,310 planned, 1.5% above. Program expense exceeded budget primarily because participant acquisition ran ahead of the planned expansion, with only a quarter of the overrun attributable to unit costs rising faster than assumed.</t>
        </is>
      </c>
    </row>
    <row r="13">
      <c r="B13" s="47" t="inlineStr">
        <is>
          <t>The variance that actually matters</t>
        </is>
      </c>
    </row>
    <row r="14" ht="81" customHeight="1">
      <c r="B14" s="48" t="inlineStr">
        <is>
          <t>Successful outcomes came in at 1,495 against a plan of 1,524 - 29 fewer, 1.9% below budget - in a year when the organization served 503 more participants than planned. The outcome rate fell to 13.9% from the 14.8% assumed in the budget. Had the planned conversion rate held on the actual participant base, the organization would have produced roughly 1,599 placements; the shortfall of about 104 is the cost of the mix shift. Growth came disproportionately through lower-converting channels. The organization bought reach and reported it as growth, and reach is not the mission.</t>
        </is>
      </c>
    </row>
    <row r="16">
      <c r="B16" s="47" t="inlineStr">
        <is>
          <t>What that implies operationally</t>
        </is>
      </c>
    </row>
    <row r="17" ht="94.5" customHeight="1">
      <c r="B17" s="48" t="inlineStr">
        <is>
          <t>A favourable volume variance sitting alongside an unfavourable outcome variance is a mix problem, not a cost problem, and cost discipline will not fix it. The relevant question for FY2025 is not whether the extra $658,965 of program spend was justified, but whether it was spent in the right channels. 06_Program_Economics.xlsx sets out the per-program cost per successful outcome, and 07_Resource_Allocation_Model.xlsx shows that the answer changes entirely depending on whether management is buying placement count or earnings gain. That choice should be made explicitly at budget time rather than emerging from where the marginal dollar happened to land.</t>
        </is>
      </c>
    </row>
    <row r="19">
      <c r="B19" s="47" t="inlineStr">
        <is>
          <t>Support costs</t>
        </is>
      </c>
    </row>
    <row r="20" ht="81" customHeight="1">
      <c r="B20" s="48" t="inlineStr">
        <is>
          <t>Management and general rose only 2.8% against plan while program services rose 6.5%, so support costs did not drive the overrun. The program expense ratio finished at 78.5%, well clear of the 65% BBB Standard 8 minimum; the administrative ratio at 12.0%; and fundraising cost 6.7 cents per dollar raised against a 35 cent BBB Standard 9 ceiling. On every conventional stewardship measure this organization is comfortable. None of those ratios speak to whether the money is being spent on the right programs, which is the harder question and the one the rest of this model is about.</t>
        </is>
      </c>
    </row>
    <row r="22">
      <c r="B22" s="47" t="inlineStr">
        <is>
          <t>The number the board should ask about</t>
        </is>
      </c>
    </row>
    <row r="23" ht="81" customHeight="1">
      <c r="B23" s="48" t="inlineStr">
        <is>
          <t>Net assets closed FY2024 at $39,907,054, or 2.18 times annual expenses and 24 months of liquid runway. BBB Standard 10 flags unrestricted net assets above three times annual expenses. The board approved a 26% expense increase for FY2024 specifically to deploy reserve into programs; expenses grew 6.2% faster than that, which is the right direction, but revenue grew faster still and the surplus came in 31.0% ahead of plan. A fifth consecutive surplus of this size moves the organization toward the accumulation ceiling, not away from it. The FY2025 budget conversation should start there.</t>
        </is>
      </c>
    </row>
    <row r="25" ht="30" customHeight="1">
      <c r="A25" s="42"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1">
    <mergeCell ref="A25:B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2026-09-10T18:12:44Z</dcterms:created>
  <dcterms:modified xmlns:dcterms="http://purl.org/dc/terms/" xmlns:xsi="http://www.w3.org/2001/XMLSchema-instance" xsi:type="dcterms:W3CDTF">2026-09-10T18:12:44Z</dcterms:modified>
</cp:coreProperties>
</file>