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Objective comparison" sheetId="2" state="visible" r:id="rId2"/>
    <sheet xmlns:r="http://schemas.openxmlformats.org/officeDocument/2006/relationships" name="Trade-off frontier" sheetId="3" state="visible" r:id="rId3"/>
    <sheet xmlns:r="http://schemas.openxmlformats.org/officeDocument/2006/relationships" name="Allocation model" sheetId="4" state="visible" r:id="rId4"/>
    <sheet xmlns:r="http://schemas.openxmlformats.org/officeDocument/2006/relationships" name="How to run Solver" sheetId="5" state="visible" r:id="rId5"/>
  </sheets>
  <definedNames/>
  <calcPr calcId="124519" fullCalcOnLoad="1"/>
</workbook>
</file>

<file path=xl/styles.xml><?xml version="1.0" encoding="utf-8"?>
<styleSheet xmlns="http://schemas.openxmlformats.org/spreadsheetml/2006/main">
  <numFmts count="4">
    <numFmt numFmtId="164" formatCode="#,##0;[Red](#,##0);&quot;-&quot;"/>
    <numFmt numFmtId="165" formatCode="0.0%;[Red](0.0%);&quot;-&quot;"/>
    <numFmt numFmtId="166" formatCode="#,##0.0;[Red](#,##0.0);&quot;-&quot;"/>
    <numFmt numFmtId="167" formatCode="#,##0.00;[Red](#,##0.00);&quot;-&quot;"/>
  </numFmts>
  <fonts count="29">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1A1A1A"/>
      <sz val="11"/>
    </font>
    <font>
      <name val="Calibri"/>
      <color rgb="005F6B7A"/>
      <sz val="8.5"/>
    </font>
    <font>
      <name val="Calibri"/>
      <b val="1"/>
      <color rgb="007F6000"/>
      <sz val="11"/>
    </font>
    <font>
      <name val="Calibri"/>
      <b val="1"/>
      <color rgb="0012324F"/>
      <sz val="11"/>
    </font>
    <font>
      <name val="Calibri"/>
      <i val="1"/>
      <color rgb="005F6B7A"/>
      <sz val="8.5"/>
    </font>
    <font>
      <name val="Calibri"/>
      <b val="1"/>
      <color rgb="00FFFFFF"/>
      <sz val="13"/>
    </font>
    <font>
      <name val="Consolas"/>
      <color rgb="005F6B7A"/>
      <sz val="9"/>
    </font>
    <font>
      <name val="Consolas"/>
      <b val="1"/>
      <sz val="10"/>
    </font>
    <font>
      <name val="Calibri"/>
      <b val="1"/>
      <sz val="9"/>
    </font>
    <font>
      <name val="Calibri"/>
      <b val="1"/>
      <sz val="11"/>
    </font>
    <font>
      <name val="Calibri"/>
      <i val="1"/>
      <color rgb="009A3412"/>
      <sz val="8.5"/>
    </font>
    <font>
      <name val="Calibri"/>
      <i val="1"/>
      <color rgb="009A3412"/>
      <sz val="9"/>
    </font>
    <font>
      <name val="Calibri"/>
      <b val="1"/>
      <color rgb="001A1A1A"/>
      <sz val="10.5"/>
    </font>
    <font>
      <name val="Calibri"/>
      <color rgb="001A1A1A"/>
      <sz val="9"/>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FFF2CC"/>
      </patternFill>
    </fill>
  </fills>
  <borders count="6">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left style="medium">
        <color rgb="00BF8F00"/>
      </left>
      <right style="medium">
        <color rgb="00BF8F00"/>
      </right>
      <top style="medium">
        <color rgb="00BF8F00"/>
      </top>
      <bottom style="medium">
        <color rgb="00BF8F00"/>
      </bottom>
    </border>
    <border>
      <left style="medium">
        <color rgb="0012324F"/>
      </left>
      <right style="medium">
        <color rgb="0012324F"/>
      </right>
      <top style="medium">
        <color rgb="0012324F"/>
      </top>
      <bottom style="medium">
        <color rgb="0012324F"/>
      </bottom>
    </border>
    <border>
      <top style="thin">
        <color rgb="0012324F"/>
      </top>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3" fillId="0" borderId="0" applyAlignment="1" pivotButton="0" quotePrefix="0" xfId="0">
      <alignment horizontal="left" vertical="center" indent="1"/>
    </xf>
    <xf numFmtId="164" fontId="13" fillId="0" borderId="0" applyAlignment="1" pivotButton="0" quotePrefix="0" xfId="0">
      <alignment horizontal="right" vertical="center"/>
    </xf>
    <xf numFmtId="164" fontId="10" fillId="0" borderId="0" applyAlignment="1" pivotButton="0" quotePrefix="0" xfId="0">
      <alignment horizontal="right" vertical="center"/>
    </xf>
    <xf numFmtId="0" fontId="3" fillId="0" borderId="5" applyAlignment="1" pivotButton="0" quotePrefix="0" xfId="0">
      <alignment horizontal="left" vertical="center"/>
    </xf>
    <xf numFmtId="164" fontId="3" fillId="0" borderId="5" applyAlignment="1" pivotButton="0" quotePrefix="0" xfId="0">
      <alignment horizontal="right"/>
    </xf>
    <xf numFmtId="0" fontId="3" fillId="0" borderId="5" pivotButton="0" quotePrefix="0" xfId="0"/>
    <xf numFmtId="166" fontId="10" fillId="0" borderId="0" applyAlignment="1" pivotButton="0" quotePrefix="0" xfId="0">
      <alignment horizontal="right" vertical="center"/>
    </xf>
    <xf numFmtId="0" fontId="16" fillId="0" borderId="0" applyAlignment="1" pivotButton="0" quotePrefix="0" xfId="0">
      <alignment vertical="top" wrapText="1"/>
    </xf>
    <xf numFmtId="167" fontId="13" fillId="0" borderId="0" applyAlignment="1" pivotButton="0" quotePrefix="0" xfId="0">
      <alignment horizontal="right" vertical="center"/>
    </xf>
    <xf numFmtId="167" fontId="10" fillId="0" borderId="0" applyAlignment="1" pivotButton="0" quotePrefix="0" xfId="0">
      <alignment horizontal="right" vertical="center"/>
    </xf>
    <xf numFmtId="0" fontId="5" fillId="0" borderId="0" applyAlignment="1" pivotButton="0" quotePrefix="0" xfId="0">
      <alignment vertical="top" wrapText="1"/>
    </xf>
    <xf numFmtId="0" fontId="26" fillId="0" borderId="0" applyAlignment="1" pivotButton="0" quotePrefix="0" xfId="0">
      <alignment horizontal="right"/>
    </xf>
    <xf numFmtId="0" fontId="15" fillId="0" borderId="0" applyAlignment="1" pivotButton="0" quotePrefix="0" xfId="0">
      <alignment horizontal="left" vertical="center"/>
    </xf>
    <xf numFmtId="167" fontId="6" fillId="0" borderId="0" applyAlignment="1" pivotButton="0" quotePrefix="0" xfId="0">
      <alignment horizontal="right" vertical="center"/>
    </xf>
    <xf numFmtId="166" fontId="6" fillId="0" borderId="0" applyAlignment="1" pivotButton="0" quotePrefix="0" xfId="0">
      <alignment horizontal="right" vertical="center"/>
    </xf>
    <xf numFmtId="164" fontId="3" fillId="0" borderId="0" applyAlignment="1" pivotButton="0" quotePrefix="0" xfId="0">
      <alignment horizontal="right"/>
    </xf>
    <xf numFmtId="164" fontId="17" fillId="7" borderId="3" applyAlignment="1" pivotButton="0" quotePrefix="0" xfId="0">
      <alignment horizontal="right"/>
    </xf>
    <xf numFmtId="164" fontId="18" fillId="0" borderId="0" applyAlignment="1" pivotButton="0" quotePrefix="0" xfId="0">
      <alignment horizontal="right"/>
    </xf>
    <xf numFmtId="0" fontId="19" fillId="0" borderId="0" applyAlignment="1" pivotButton="0" quotePrefix="0" xfId="0">
      <alignment vertical="top" wrapText="1"/>
    </xf>
    <xf numFmtId="0" fontId="5" fillId="0" borderId="0" applyAlignment="1" pivotButton="0" quotePrefix="0" xfId="0">
      <alignment horizontal="left" vertical="center" indent="2"/>
    </xf>
    <xf numFmtId="165" fontId="0" fillId="0" borderId="0" applyAlignment="1" pivotButton="0" quotePrefix="0" xfId="0">
      <alignment horizontal="right"/>
    </xf>
    <xf numFmtId="166" fontId="12" fillId="0" borderId="0" applyAlignment="1" pivotButton="0" quotePrefix="0" xfId="0">
      <alignment horizontal="right"/>
    </xf>
    <xf numFmtId="166" fontId="3" fillId="0" borderId="0" applyAlignment="1" pivotButton="0" quotePrefix="0" xfId="0">
      <alignment horizontal="right"/>
    </xf>
    <xf numFmtId="166" fontId="11" fillId="0" borderId="0" applyAlignment="1" pivotButton="0" quotePrefix="0" xfId="0">
      <alignment horizontal="right"/>
    </xf>
    <xf numFmtId="165" fontId="12" fillId="0" borderId="0" applyAlignment="1" pivotButton="0" quotePrefix="0" xfId="0">
      <alignment horizontal="right"/>
    </xf>
    <xf numFmtId="165" fontId="3" fillId="0" borderId="0" applyAlignment="1" pivotButton="0" quotePrefix="0" xfId="0">
      <alignment horizontal="right"/>
    </xf>
    <xf numFmtId="0" fontId="15" fillId="0" borderId="0" applyAlignment="1" pivotButton="0" quotePrefix="0" xfId="0">
      <alignment horizontal="left" vertical="center" indent="1"/>
    </xf>
    <xf numFmtId="166" fontId="20" fillId="3" borderId="4" applyAlignment="1" pivotButton="0" quotePrefix="0" xfId="0">
      <alignment horizontal="center" vertical="center"/>
    </xf>
    <xf numFmtId="0" fontId="21" fillId="0" borderId="0" applyAlignment="1" pivotButton="0" quotePrefix="0" xfId="0">
      <alignment horizontal="center"/>
    </xf>
    <xf numFmtId="0" fontId="22" fillId="0" borderId="0" applyAlignment="1" pivotButton="0" quotePrefix="0" xfId="0">
      <alignment horizontal="center"/>
    </xf>
    <xf numFmtId="166" fontId="0" fillId="0" borderId="0" applyAlignment="1" pivotButton="0" quotePrefix="0" xfId="0">
      <alignment horizontal="right"/>
    </xf>
    <xf numFmtId="0" fontId="23" fillId="0" borderId="0" applyAlignment="1" pivotButton="0" quotePrefix="0" xfId="0">
      <alignment horizontal="center"/>
    </xf>
    <xf numFmtId="0" fontId="10" fillId="0" borderId="0" applyAlignment="1" pivotButton="0" quotePrefix="0" xfId="0">
      <alignment horizontal="left" vertical="center"/>
    </xf>
    <xf numFmtId="0" fontId="24" fillId="0" borderId="0" applyAlignment="1" pivotButton="0" quotePrefix="0" xfId="0">
      <alignment horizontal="center"/>
    </xf>
    <xf numFmtId="0" fontId="25" fillId="0" borderId="0" applyAlignment="1" pivotButton="0" quotePrefix="0" xfId="0">
      <alignment vertical="top" wrapText="1"/>
    </xf>
    <xf numFmtId="0" fontId="27" fillId="0" borderId="0" applyAlignment="1" pivotButton="0" quotePrefix="0" xfId="0">
      <alignment horizontal="left" vertical="center"/>
    </xf>
    <xf numFmtId="0" fontId="28" fillId="0" borderId="0" applyAlignment="1" pivotButton="0" quotePrefix="0" xfId="0">
      <alignment vertical="top" wrapText="1"/>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Allocation by objective</a:t>
            </a:r>
          </a:p>
        </rich>
      </tx>
    </title>
    <plotArea>
      <barChart>
        <barDir val="col"/>
        <grouping val="clustered"/>
        <ser>
          <idx val="0"/>
          <order val="0"/>
          <tx>
            <v>Maximise placements</v>
          </tx>
          <spPr>
            <a:ln xmlns:a="http://schemas.openxmlformats.org/drawingml/2006/main">
              <a:prstDash val="solid"/>
            </a:ln>
          </spPr>
          <cat>
            <numRef>
              <f>'Objective comparison'!$A$6:$A$9</f>
            </numRef>
          </cat>
          <val>
            <numRef>
              <f>'Objective comparison'!$B$6:$B$9</f>
            </numRef>
          </val>
        </ser>
        <ser>
          <idx val="1"/>
          <order val="1"/>
          <tx>
            <v>Balanced (quality floor)</v>
          </tx>
          <spPr>
            <a:ln xmlns:a="http://schemas.openxmlformats.org/drawingml/2006/main">
              <a:prstDash val="solid"/>
            </a:ln>
          </spPr>
          <cat>
            <numRef>
              <f>'Objective comparison'!$A$6:$A$9</f>
            </numRef>
          </cat>
          <val>
            <numRef>
              <f>'Objective comparison'!$C$6:$C$9</f>
            </numRef>
          </val>
        </ser>
        <ser>
          <idx val="2"/>
          <order val="2"/>
          <tx>
            <v>Maximise earnings gain</v>
          </tx>
          <spPr>
            <a:ln xmlns:a="http://schemas.openxmlformats.org/drawingml/2006/main">
              <a:prstDash val="solid"/>
            </a:ln>
          </spPr>
          <cat>
            <numRef>
              <f>'Objective comparison'!$A$6:$A$9</f>
            </numRef>
          </cat>
          <val>
            <numRef>
              <f>'Objective comparison'!$D$6:$D$9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Placements against the earnings-gain quality floor</a:t>
            </a:r>
          </a:p>
        </rich>
      </tx>
    </title>
    <plotArea>
      <lineChart>
        <grouping val="standard"/>
        <ser>
          <idx val="0"/>
          <order val="0"/>
          <tx>
            <v>Placements</v>
          </tx>
          <spPr>
            <a:ln xmlns:a="http://schemas.openxmlformats.org/drawingml/2006/main">
              <a:prstDash val="solid"/>
            </a:ln>
          </spPr>
          <marker>
            <symbol val="none"/>
            <spPr>
              <a:ln xmlns:a="http://schemas.openxmlformats.org/drawingml/2006/main">
                <a:prstDash val="solid"/>
              </a:ln>
            </spPr>
          </marker>
          <cat>
            <numRef>
              <f>'Trade-off frontier'!$A$6:$A$13</f>
            </numRef>
          </cat>
          <val>
            <numRef>
              <f>'Trade-off frontier'!$B$6:$B$13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Additional placements as the budget grows</a:t>
            </a:r>
          </a:p>
        </rich>
      </tx>
    </title>
    <plotArea>
      <lineChart>
        <grouping val="standard"/>
        <ser>
          <idx val="0"/>
          <order val="0"/>
          <tx>
            <v>Placements</v>
          </tx>
          <spPr>
            <a:ln xmlns:a="http://schemas.openxmlformats.org/drawingml/2006/main">
              <a:prstDash val="solid"/>
            </a:ln>
          </spPr>
          <marker>
            <symbol val="none"/>
            <spPr>
              <a:ln xmlns:a="http://schemas.openxmlformats.org/drawingml/2006/main">
                <a:prstDash val="solid"/>
              </a:ln>
            </spPr>
          </marker>
          <cat>
            <numRef>
              <f>'Trade-off frontier'!$A$35:$A$45</f>
            </numRef>
          </cat>
          <val>
            <numRef>
              <f>'Trade-off frontier'!$B$35:$B$45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drawing1.xml><?xml version="1.0" encoding="utf-8"?>
<wsDr xmlns="http://schemas.openxmlformats.org/drawingml/2006/spreadsheetDrawing">
  <oneCellAnchor>
    <from>
      <col>0</col>
      <colOff>0</colOff>
      <row>33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15</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46</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12324F"/>
    <outlinePr summaryBelow="1" summaryRight="1"/>
    <pageSetUpPr/>
  </sheetPr>
  <dimension ref="A1:G32"/>
  <sheetViews>
    <sheetView showGridLines="0"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3" customWidth="1" min="6" max="6"/>
    <col width="56" customWidth="1" min="7" max="7"/>
  </cols>
  <sheetData>
    <row r="1" ht="24" customHeight="1">
      <c r="A1" s="1" t="inlineStr">
        <is>
          <t>The same money, three different objectives</t>
        </is>
      </c>
    </row>
    <row r="2">
      <c r="A2" s="2" t="inlineStr">
        <is>
          <t>Each column is a separate optimisation under the same constraints. They disagree, and the disagreement is the finding.</t>
        </is>
      </c>
    </row>
    <row r="3">
      <c r="A3" s="3" t="n"/>
      <c r="B3" s="3" t="n"/>
      <c r="C3" s="3" t="n"/>
      <c r="D3" s="3" t="n"/>
      <c r="E3" s="3" t="n"/>
      <c r="F3" s="3" t="n"/>
      <c r="G3" s="3" t="n"/>
    </row>
    <row r="4" ht="30" customHeight="1">
      <c r="A4" s="4" t="inlineStr"/>
      <c r="B4" s="5" t="inlineStr">
        <is>
          <t>Maximise placements</t>
        </is>
      </c>
      <c r="C4" s="5" t="inlineStr">
        <is>
          <t>Balanced (quality floor)</t>
        </is>
      </c>
      <c r="D4" s="5" t="inlineStr">
        <is>
          <t>Maximise earnings gain</t>
        </is>
      </c>
      <c r="E4" s="5" t="inlineStr">
        <is>
          <t>Spread</t>
        </is>
      </c>
      <c r="F4" s="5" t="inlineStr"/>
      <c r="G4" s="5" t="inlineStr">
        <is>
          <t>Note</t>
        </is>
      </c>
    </row>
    <row r="5" ht="18" customHeight="1">
      <c r="A5" s="6" t="inlineStr">
        <is>
          <t>Allocation</t>
        </is>
      </c>
      <c r="B5" s="7" t="n"/>
      <c r="C5" s="7" t="n"/>
      <c r="D5" s="7" t="n"/>
      <c r="E5" s="7" t="n"/>
      <c r="F5" s="7" t="n"/>
      <c r="G5" s="7" t="n"/>
    </row>
    <row r="6">
      <c r="A6" s="22" t="inlineStr">
        <is>
          <t>Career Coaching</t>
        </is>
      </c>
      <c r="B6" s="23" t="n">
        <v>308000</v>
      </c>
      <c r="C6" s="23" t="n">
        <v>384901.53</v>
      </c>
      <c r="D6" s="23" t="n">
        <v>484000</v>
      </c>
      <c r="E6" s="24" t="n">
        <v>176000</v>
      </c>
    </row>
    <row r="7">
      <c r="A7" s="22" t="inlineStr">
        <is>
          <t>Digital Learning</t>
        </is>
      </c>
      <c r="B7" s="23" t="n">
        <v>484000</v>
      </c>
      <c r="C7" s="23" t="n">
        <v>407098.47</v>
      </c>
      <c r="D7" s="23" t="n">
        <v>44000</v>
      </c>
      <c r="E7" s="24" t="n">
        <v>440000</v>
      </c>
    </row>
    <row r="8">
      <c r="A8" s="22" t="inlineStr">
        <is>
          <t>Credential Support</t>
        </is>
      </c>
      <c r="B8" s="23" t="n">
        <v>44000</v>
      </c>
      <c r="C8" s="23" t="n">
        <v>44000</v>
      </c>
      <c r="D8" s="23" t="n">
        <v>308000</v>
      </c>
      <c r="E8" s="24" t="n">
        <v>264000</v>
      </c>
    </row>
    <row r="9">
      <c r="A9" s="22" t="inlineStr">
        <is>
          <t>Partner Capacity</t>
        </is>
      </c>
      <c r="B9" s="23" t="n">
        <v>44000</v>
      </c>
      <c r="C9" s="23" t="n">
        <v>44000</v>
      </c>
      <c r="D9" s="23" t="n">
        <v>44000</v>
      </c>
      <c r="E9" s="24" t="n">
        <v>0</v>
      </c>
    </row>
    <row r="10">
      <c r="A10" s="25" t="inlineStr">
        <is>
          <t>Total deployable</t>
        </is>
      </c>
      <c r="B10" s="26">
        <f>SUM(B6:B9)</f>
        <v/>
      </c>
      <c r="C10" s="26">
        <f>SUM(C6:C9)</f>
        <v/>
      </c>
      <c r="D10" s="26">
        <f>SUM(D6:D9)</f>
        <v/>
      </c>
      <c r="E10" s="27" t="n"/>
    </row>
    <row r="12" ht="18" customHeight="1">
      <c r="A12" s="6" t="inlineStr">
        <is>
          <t>What each buys</t>
        </is>
      </c>
      <c r="B12" s="7" t="n"/>
      <c r="C12" s="7" t="n"/>
      <c r="D12" s="7" t="n"/>
      <c r="E12" s="7" t="n"/>
      <c r="F12" s="7" t="n"/>
      <c r="G12" s="7" t="n"/>
    </row>
    <row r="13" ht="26" customHeight="1">
      <c r="A13" s="22" t="inlineStr">
        <is>
          <t>Additional placements</t>
        </is>
      </c>
      <c r="B13" s="20" t="n">
        <v>112.2753354688147</v>
      </c>
      <c r="C13" s="20" t="n">
        <v>109.1320220043227</v>
      </c>
      <c r="D13" s="20" t="n">
        <v>84.96713361410306</v>
      </c>
      <c r="E13" s="28" t="n">
        <v>27.30820185471163</v>
      </c>
      <c r="G13" s="29" t="inlineStr">
        <is>
          <t>The count of people placed in skill-aligned work.</t>
        </is>
      </c>
    </row>
    <row r="14" ht="26" customHeight="1">
      <c r="A14" s="22" t="inlineStr">
        <is>
          <t>Additional earnings gain</t>
        </is>
      </c>
      <c r="B14" s="23" t="n">
        <v>5153233.662917733</v>
      </c>
      <c r="C14" s="23" t="n">
        <v>5238337.047461024</v>
      </c>
      <c r="D14" s="23" t="n">
        <v>5597547.619315436</v>
      </c>
      <c r="E14" s="24" t="n">
        <v>444313.9563977029</v>
      </c>
      <c r="G14" s="29" t="inlineStr">
        <is>
          <t>First-year earnings increase across all placements funded.</t>
        </is>
      </c>
    </row>
    <row r="15" ht="26" customHeight="1">
      <c r="A15" s="22" t="inlineStr">
        <is>
          <t>Average gain per placement</t>
        </is>
      </c>
      <c r="B15" s="23" t="n">
        <v>45898.18094419395</v>
      </c>
      <c r="C15" s="23" t="n">
        <v>47999.99991985428</v>
      </c>
      <c r="D15" s="23" t="n">
        <v>65878.97438953197</v>
      </c>
      <c r="E15" s="24" t="n">
        <v>19980.79344533802</v>
      </c>
      <c r="G15" s="29" t="inlineStr">
        <is>
          <t>The quality of the placements bought, not just the quantity.</t>
        </is>
      </c>
    </row>
    <row r="16">
      <c r="A16" s="22" t="inlineStr">
        <is>
          <t>Cost per additional placement</t>
        </is>
      </c>
      <c r="B16" s="30" t="n">
        <v>7837.874599309717</v>
      </c>
      <c r="C16" s="30" t="n">
        <v>8063.627740400003</v>
      </c>
      <c r="D16" s="30" t="n">
        <v>10356.94582797995</v>
      </c>
      <c r="E16" s="31" t="n">
        <v>2519.071228670237</v>
      </c>
    </row>
    <row r="17" ht="26" customHeight="1">
      <c r="A17" s="22" t="inlineStr">
        <is>
          <t>Placements forgone vs best</t>
        </is>
      </c>
      <c r="B17" s="20" t="n">
        <v>0</v>
      </c>
      <c r="C17" s="20" t="n">
        <v>3.143313464491996</v>
      </c>
      <c r="D17" s="20" t="n">
        <v>27.30820185471163</v>
      </c>
      <c r="E17" s="28" t="n">
        <v>27.30820185471163</v>
      </c>
      <c r="G17" s="29" t="inlineStr">
        <is>
          <t>What choosing this objective costs in placement count.</t>
        </is>
      </c>
    </row>
    <row r="18" ht="26" customHeight="1">
      <c r="A18" s="22" t="inlineStr">
        <is>
          <t>Earnings gain forgone vs best</t>
        </is>
      </c>
      <c r="B18" s="23" t="n">
        <v>444313.9563977029</v>
      </c>
      <c r="C18" s="23" t="n">
        <v>359210.5718544116</v>
      </c>
      <c r="D18" s="23" t="n">
        <v>0</v>
      </c>
      <c r="E18" s="24" t="n">
        <v>444313.9563977029</v>
      </c>
      <c r="G18" s="29" t="inlineStr">
        <is>
          <t>What choosing this objective costs in income mobility.</t>
        </is>
      </c>
    </row>
    <row r="21" ht="18" customHeight="1">
      <c r="A21" s="6" t="inlineStr">
        <is>
          <t>Reference policies, for comparison</t>
        </is>
      </c>
      <c r="B21" s="7" t="n"/>
      <c r="C21" s="7" t="n"/>
      <c r="D21" s="7" t="n"/>
      <c r="E21" s="7" t="n"/>
      <c r="F21" s="7" t="n"/>
      <c r="G21" s="7" t="n"/>
    </row>
    <row r="22" ht="30" customHeight="1">
      <c r="A22" s="4" t="inlineStr">
        <is>
          <t>Policy</t>
        </is>
      </c>
      <c r="B22" s="5" t="inlineStr">
        <is>
          <t>Placements</t>
        </is>
      </c>
      <c r="C22" s="5" t="inlineStr">
        <is>
          <t>Earnings gain</t>
        </is>
      </c>
      <c r="D22" s="5" t="inlineStr">
        <is>
          <t>Average gain</t>
        </is>
      </c>
      <c r="E22" s="5" t="inlineStr"/>
      <c r="F22" s="5" t="inlineStr"/>
      <c r="G22" s="5" t="inlineStr">
        <is>
          <t>Note</t>
        </is>
      </c>
    </row>
    <row r="23">
      <c r="A23" s="22" t="inlineStr">
        <is>
          <t>Optimised for placements</t>
        </is>
      </c>
      <c r="B23" s="20" t="n">
        <v>112.2753354688147</v>
      </c>
      <c r="C23" s="23" t="n">
        <v>5153233.662917733</v>
      </c>
      <c r="D23" s="23" t="n">
        <v>45898.18094419395</v>
      </c>
    </row>
    <row r="24" ht="26" customHeight="1">
      <c r="A24" s="22" t="inlineStr">
        <is>
          <t>Equal split across programs</t>
        </is>
      </c>
      <c r="B24" s="20" t="n">
        <v>87.33105360236323</v>
      </c>
      <c r="C24" s="23" t="n">
        <v>4769385.205618226</v>
      </c>
      <c r="D24" s="23" t="n">
        <v>54612.70657897071</v>
      </c>
      <c r="G24" s="29" t="inlineStr">
        <is>
          <t>The default when no one wants to choose.</t>
        </is>
      </c>
    </row>
    <row r="25" ht="26" customHeight="1">
      <c r="A25" s="22" t="inlineStr">
        <is>
          <t>Pro rata to current program size</t>
        </is>
      </c>
      <c r="B25" s="20" t="n">
        <v>91.64122284764657</v>
      </c>
      <c r="C25" s="23" t="n">
        <v>5385455.329964023</v>
      </c>
      <c r="D25" s="23" t="n">
        <v>58766.73360107096</v>
      </c>
      <c r="G25" s="29" t="inlineStr">
        <is>
          <t>The default when the budget is rolled forward. It entrenches whatever the current mix happens to be.</t>
        </is>
      </c>
    </row>
    <row r="28" ht="18" customHeight="1">
      <c r="A28" s="6" t="inlineStr">
        <is>
          <t>What this says</t>
        </is>
      </c>
      <c r="B28" s="7" t="n"/>
      <c r="C28" s="7" t="n"/>
      <c r="D28" s="7" t="n"/>
      <c r="E28" s="7" t="n"/>
      <c r="F28" s="7" t="n"/>
      <c r="G28" s="7" t="n"/>
    </row>
    <row r="29" ht="39" customHeight="1">
      <c r="A29" s="32" t="inlineStr">
        <is>
          <t>Optimising for placement count produces 112 additional placements at an average earnings gain of $45,898 each. Optimising for earnings gain produces only 85 placements - 27 fewer - but at $65,879 of gain each, and $444,314 more earnings gain in total. Same million dollars, same constraints, materially different programs funded.</t>
        </is>
      </c>
    </row>
    <row r="30" ht="52" customHeight="1">
      <c r="A30" s="32" t="inlineStr">
        <is>
          <t>The balanced case shows the trade is not all-or-nothing. Holding placement count as the objective while requiring an average gain of at least $48,000 per placement gives 109 placements - only 3.1 fewer than the placement-maximising answer - while lifting average gain from $45,898 to $48,000. Roughly 2.8% of placement count buys a 5% improvement in placement quality. On these assumptions that is a cheap trade, and it is the allocation this analysis recommends.</t>
        </is>
      </c>
    </row>
    <row r="31" ht="39" customHeight="1">
      <c r="A31" s="32" t="inlineStr">
        <is>
          <t>Both optimised answers beat the two default policies. An equal split delivers 87 placements and a pro rata roll-forward 92, against 112 for the optimised allocation - so the analysis is worth roughly 21 additional placements a year against the most likely default. That is the value of doing this exercise at all.</t>
        </is>
      </c>
    </row>
    <row r="32" ht="65" customHeight="1">
      <c r="A32" s="32" t="inlineStr">
        <is>
          <t>A caution on all of it. The model assumes marginal cost per outcome stays at current average cost as programs expand. Real expansion faces rising marginal cost: the easiest-to-serve participants are already being served. Because the cheapest program is also the one most exposed to that effect, the true optimum almost certainly sits closer to the balanced answer than the placement-maximising one. The linear model overstates the case for concentration, and knowing the direction of that bias is more useful than pretending it is not there.</t>
        </is>
      </c>
    </row>
  </sheetData>
  <mergeCells count="4">
    <mergeCell ref="A32:G32"/>
    <mergeCell ref="A31:G31"/>
    <mergeCell ref="A30:G30"/>
    <mergeCell ref="A29:G2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B6E4F"/>
    <outlinePr summaryBelow="1" summaryRight="1"/>
    <pageSetUpPr/>
  </sheetPr>
  <dimension ref="A1:G65"/>
  <sheetViews>
    <sheetView showGridLines="0" workbookViewId="0">
      <selection activeCell="A1" sqref="A1"/>
    </sheetView>
  </sheetViews>
  <sheetFormatPr baseColWidth="8" defaultRowHeight="15"/>
  <cols>
    <col width="24" customWidth="1" min="1" max="1"/>
    <col width="16" customWidth="1" min="2" max="2"/>
    <col width="18" customWidth="1" min="3" max="3"/>
    <col width="18" customWidth="1" min="4" max="4"/>
    <col width="18" customWidth="1" min="5" max="5"/>
    <col width="3" customWidth="1" min="6" max="6"/>
    <col width="56" customWidth="1" min="7" max="7"/>
  </cols>
  <sheetData>
    <row r="1" ht="24" customHeight="1">
      <c r="A1" s="1" t="inlineStr">
        <is>
          <t>Trade-off and budget frontiers</t>
        </is>
      </c>
    </row>
    <row r="2">
      <c r="A2" s="2" t="inlineStr">
        <is>
          <t>How much placement count each level of placement quality costs, and what happens as the budget grows.</t>
        </is>
      </c>
    </row>
    <row r="3">
      <c r="A3" s="3" t="n"/>
      <c r="B3" s="3" t="n"/>
      <c r="C3" s="3" t="n"/>
      <c r="D3" s="3" t="n"/>
      <c r="E3" s="3" t="n"/>
      <c r="F3" s="3" t="n"/>
      <c r="G3" s="3" t="n"/>
    </row>
    <row r="4" ht="18" customHeight="1">
      <c r="A4" s="6" t="inlineStr">
        <is>
          <t>Quality floor against placement count</t>
        </is>
      </c>
      <c r="B4" s="7" t="n"/>
      <c r="C4" s="7" t="n"/>
      <c r="D4" s="7" t="n"/>
      <c r="E4" s="7" t="n"/>
      <c r="F4" s="7" t="n"/>
      <c r="G4" s="7" t="n"/>
    </row>
    <row r="5" ht="30" customHeight="1">
      <c r="A5" s="4" t="inlineStr">
        <is>
          <t>Minimum average gain</t>
        </is>
      </c>
      <c r="B5" s="5" t="inlineStr">
        <is>
          <t>Placements</t>
        </is>
      </c>
      <c r="C5" s="5" t="inlineStr">
        <is>
          <t>Total earnings gain</t>
        </is>
      </c>
      <c r="D5" s="5" t="inlineStr">
        <is>
          <t>Average gain achieved</t>
        </is>
      </c>
      <c r="E5" s="5" t="inlineStr">
        <is>
          <t>Cost per placement</t>
        </is>
      </c>
      <c r="F5" s="5" t="inlineStr"/>
      <c r="G5" s="5" t="inlineStr">
        <is>
          <t>Note</t>
        </is>
      </c>
    </row>
    <row r="6">
      <c r="A6" s="22" t="inlineStr">
        <is>
          <t>$37,000</t>
        </is>
      </c>
      <c r="B6" s="20" t="n">
        <v>112.2753354688147</v>
      </c>
      <c r="C6" s="23" t="n">
        <v>5153233.662917733</v>
      </c>
      <c r="D6" s="23" t="n">
        <v>45898.18094419395</v>
      </c>
      <c r="E6" s="30" t="n">
        <v>7837.874599309717</v>
      </c>
    </row>
    <row r="7">
      <c r="A7" s="22" t="inlineStr">
        <is>
          <t>$42,000</t>
        </is>
      </c>
      <c r="B7" s="20" t="n">
        <v>112.2753354688147</v>
      </c>
      <c r="C7" s="23" t="n">
        <v>5153233.662917733</v>
      </c>
      <c r="D7" s="23" t="n">
        <v>45898.18094419395</v>
      </c>
      <c r="E7" s="30" t="n">
        <v>7837.874599309717</v>
      </c>
    </row>
    <row r="8">
      <c r="A8" s="22" t="inlineStr">
        <is>
          <t>$47,000</t>
        </is>
      </c>
      <c r="B8" s="20" t="n">
        <v>110.605297230669</v>
      </c>
      <c r="C8" s="23" t="n">
        <v>5198448.977263062</v>
      </c>
      <c r="D8" s="23" t="n">
        <v>47000.00006710002</v>
      </c>
      <c r="E8" s="30" t="n">
        <v>7956.219295399085</v>
      </c>
    </row>
    <row r="9">
      <c r="A9" s="22" t="inlineStr">
        <is>
          <t>$52,000</t>
        </is>
      </c>
      <c r="B9" s="20" t="n">
        <v>103.2767962451434</v>
      </c>
      <c r="C9" s="23" t="n">
        <v>5370393.396942841</v>
      </c>
      <c r="D9" s="23" t="n">
        <v>51999.99992443011</v>
      </c>
      <c r="E9" s="30" t="n">
        <v>8520.7910391719</v>
      </c>
    </row>
    <row r="10">
      <c r="A10" s="22" t="inlineStr">
        <is>
          <t>$57,000</t>
        </is>
      </c>
      <c r="B10" s="20" t="n">
        <v>95.8367746736179</v>
      </c>
      <c r="C10" s="23" t="n">
        <v>5462696.13492083</v>
      </c>
      <c r="D10" s="23" t="n">
        <v>56999.99977591702</v>
      </c>
      <c r="E10" s="30" t="n">
        <v>9182.278963340863</v>
      </c>
    </row>
    <row r="11">
      <c r="A11" s="22" t="inlineStr">
        <is>
          <t>$62,000</t>
        </is>
      </c>
      <c r="B11" s="20" t="n">
        <v>89.39667186585413</v>
      </c>
      <c r="C11" s="23" t="n">
        <v>5542593.660379649</v>
      </c>
      <c r="D11" s="23" t="n">
        <v>62000.00005253767</v>
      </c>
      <c r="E11" s="30" t="n">
        <v>9843.766905780349</v>
      </c>
    </row>
    <row r="12">
      <c r="A12" s="22" t="inlineStr">
        <is>
          <t>$67,000</t>
        </is>
      </c>
      <c r="B12" s="20" t="n">
        <v>83.44140435484368</v>
      </c>
      <c r="C12" s="23" t="n">
        <v>5590574.086197621</v>
      </c>
      <c r="D12" s="23" t="n">
        <v>66999.99993316381</v>
      </c>
      <c r="E12" s="30" t="n">
        <v>10546.32297723207</v>
      </c>
    </row>
    <row r="13">
      <c r="A13" s="22" t="inlineStr">
        <is>
          <t>$72,000</t>
        </is>
      </c>
      <c r="B13" s="20" t="n">
        <v>69.57230160322655</v>
      </c>
      <c r="C13" s="23" t="n">
        <v>5009205.721105527</v>
      </c>
      <c r="D13" s="23" t="n">
        <v>72000.00008154417</v>
      </c>
      <c r="E13" s="30" t="n">
        <v>12648.71191151147</v>
      </c>
    </row>
    <row r="14" ht="26" customHeight="1">
      <c r="A14" s="22" t="inlineStr">
        <is>
          <t>$77,000</t>
        </is>
      </c>
      <c r="B14" s="33" t="inlineStr">
        <is>
          <t>infeasible</t>
        </is>
      </c>
      <c r="G14" s="29" t="inlineStr">
        <is>
          <t>No allocation satisfying the minimum and maximum share constraints can reach this average gain. The constraint set, not the money, is what binds here.</t>
        </is>
      </c>
    </row>
    <row r="33" ht="18" customHeight="1">
      <c r="A33" s="6" t="inlineStr">
        <is>
          <t>Budget frontier</t>
        </is>
      </c>
      <c r="B33" s="7" t="n"/>
      <c r="C33" s="7" t="n"/>
      <c r="D33" s="7" t="n"/>
      <c r="E33" s="7" t="n"/>
      <c r="F33" s="7" t="n"/>
      <c r="G33" s="7" t="n"/>
    </row>
    <row r="34" ht="30" customHeight="1">
      <c r="A34" s="4" t="inlineStr">
        <is>
          <t>Budget</t>
        </is>
      </c>
      <c r="B34" s="5" t="inlineStr">
        <is>
          <t>Placements</t>
        </is>
      </c>
      <c r="C34" s="5" t="inlineStr">
        <is>
          <t>Earnings gain</t>
        </is>
      </c>
      <c r="D34" s="5" t="inlineStr">
        <is>
          <t>Cost per placement</t>
        </is>
      </c>
      <c r="E34" s="5" t="inlineStr">
        <is>
          <t>Staff hours used</t>
        </is>
      </c>
      <c r="F34" s="5" t="inlineStr"/>
      <c r="G34" s="5" t="inlineStr">
        <is>
          <t>Note</t>
        </is>
      </c>
    </row>
    <row r="35">
      <c r="A35" s="22" t="inlineStr">
        <is>
          <t>$200,000</t>
        </is>
      </c>
      <c r="B35" s="20" t="n">
        <v>22.45506709376294</v>
      </c>
      <c r="C35" s="23" t="n">
        <v>1030646.732583547</v>
      </c>
      <c r="D35" s="30" t="n">
        <v>7837.874599309715</v>
      </c>
      <c r="E35" s="19" t="n">
        <v>0.03866297433857421</v>
      </c>
    </row>
    <row r="36">
      <c r="A36" s="22" t="inlineStr">
        <is>
          <t>$360,000</t>
        </is>
      </c>
      <c r="B36" s="20" t="n">
        <v>40.41912076877328</v>
      </c>
      <c r="C36" s="23" t="n">
        <v>1855164.118650384</v>
      </c>
      <c r="D36" s="30" t="n">
        <v>7837.874599309718</v>
      </c>
      <c r="E36" s="19" t="n">
        <v>0.06959335380943357</v>
      </c>
    </row>
    <row r="37">
      <c r="A37" s="22" t="inlineStr">
        <is>
          <t>$520,000</t>
        </is>
      </c>
      <c r="B37" s="20" t="n">
        <v>58.38317444378364</v>
      </c>
      <c r="C37" s="23" t="n">
        <v>2679681.504717221</v>
      </c>
      <c r="D37" s="30" t="n">
        <v>7837.874599309716</v>
      </c>
      <c r="E37" s="19" t="n">
        <v>0.1005237332802929</v>
      </c>
    </row>
    <row r="38">
      <c r="A38" s="22" t="inlineStr">
        <is>
          <t>$680,000</t>
        </is>
      </c>
      <c r="B38" s="20" t="n">
        <v>76.34722811879399</v>
      </c>
      <c r="C38" s="23" t="n">
        <v>3504198.890784058</v>
      </c>
      <c r="D38" s="30" t="n">
        <v>7837.874599309715</v>
      </c>
      <c r="E38" s="19" t="n">
        <v>0.1314541127511523</v>
      </c>
    </row>
    <row r="39">
      <c r="A39" s="22" t="inlineStr">
        <is>
          <t>$840,000</t>
        </is>
      </c>
      <c r="B39" s="20" t="n">
        <v>94.31128179380433</v>
      </c>
      <c r="C39" s="23" t="n">
        <v>4328716.276850895</v>
      </c>
      <c r="D39" s="30" t="n">
        <v>7837.874599309719</v>
      </c>
      <c r="E39" s="19" t="n">
        <v>0.1623844922220117</v>
      </c>
    </row>
    <row r="40">
      <c r="A40" s="22" t="inlineStr">
        <is>
          <t>$1,000,000</t>
        </is>
      </c>
      <c r="B40" s="20" t="n">
        <v>112.2753354688147</v>
      </c>
      <c r="C40" s="23" t="n">
        <v>5153233.662917733</v>
      </c>
      <c r="D40" s="30" t="n">
        <v>7837.874599309717</v>
      </c>
      <c r="E40" s="19" t="n">
        <v>0.193314871692871</v>
      </c>
    </row>
    <row r="41">
      <c r="A41" s="22" t="inlineStr">
        <is>
          <t>$1,160,000</t>
        </is>
      </c>
      <c r="B41" s="20" t="n">
        <v>130.239389143825</v>
      </c>
      <c r="C41" s="23" t="n">
        <v>5977751.04898457</v>
      </c>
      <c r="D41" s="30" t="n">
        <v>7837.874599309717</v>
      </c>
      <c r="E41" s="19" t="n">
        <v>0.2242452511637304</v>
      </c>
    </row>
    <row r="42">
      <c r="A42" s="22" t="inlineStr">
        <is>
          <t>$1,320,000</t>
        </is>
      </c>
      <c r="B42" s="20" t="n">
        <v>148.2034428188354</v>
      </c>
      <c r="C42" s="23" t="n">
        <v>6802268.435051407</v>
      </c>
      <c r="D42" s="30" t="n">
        <v>7837.874599309717</v>
      </c>
      <c r="E42" s="19" t="n">
        <v>0.2551756306345898</v>
      </c>
    </row>
    <row r="43">
      <c r="A43" s="22" t="inlineStr">
        <is>
          <t>$1,480,000</t>
        </is>
      </c>
      <c r="B43" s="20" t="n">
        <v>166.1674964938457</v>
      </c>
      <c r="C43" s="23" t="n">
        <v>7626785.821118243</v>
      </c>
      <c r="D43" s="30" t="n">
        <v>7837.874599309717</v>
      </c>
      <c r="E43" s="19" t="n">
        <v>0.2861060101054491</v>
      </c>
    </row>
    <row r="44">
      <c r="A44" s="22" t="inlineStr">
        <is>
          <t>$1,640,000</t>
        </is>
      </c>
      <c r="B44" s="20" t="n">
        <v>184.1315501688561</v>
      </c>
      <c r="C44" s="23" t="n">
        <v>8451303.207185082</v>
      </c>
      <c r="D44" s="30" t="n">
        <v>7837.874599309716</v>
      </c>
      <c r="E44" s="19" t="n">
        <v>0.3170363895763085</v>
      </c>
    </row>
    <row r="45">
      <c r="A45" s="22" t="inlineStr">
        <is>
          <t>$1,800,000</t>
        </is>
      </c>
      <c r="B45" s="20" t="n">
        <v>202.0956038438665</v>
      </c>
      <c r="C45" s="23" t="n">
        <v>9275820.593251918</v>
      </c>
      <c r="D45" s="30" t="n">
        <v>7837.874599309716</v>
      </c>
      <c r="E45" s="19" t="n">
        <v>0.3479667690471678</v>
      </c>
    </row>
    <row r="64" ht="18" customHeight="1">
      <c r="A64" s="6" t="inlineStr">
        <is>
          <t>Where the binding constraint sits</t>
        </is>
      </c>
      <c r="B64" s="7" t="n"/>
      <c r="C64" s="7" t="n"/>
      <c r="D64" s="7" t="n"/>
      <c r="E64" s="7" t="n"/>
      <c r="F64" s="7" t="n"/>
      <c r="G64" s="7" t="n"/>
    </row>
    <row r="65" ht="52" customHeight="1">
      <c r="A65" s="32" t="inlineStr">
        <is>
          <t>Staff hours never fully bind across the budget range tested, peaking at 35% utilisation. Within this range the binding constraints are the minimum and maximum share limits, not delivery capacity or money. That is worth knowing: it means the allocation answer is being driven by policy choices the board set, not by operational limits, and the board could revisit them if it wanted a different answer.</t>
        </is>
      </c>
    </row>
  </sheetData>
  <mergeCells count="1">
    <mergeCell ref="A65:G6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BF8F00"/>
    <outlinePr summaryBelow="1" summaryRight="1"/>
    <pageSetUpPr/>
  </sheetPr>
  <dimension ref="A1:H6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8" customWidth="1" min="6" max="6"/>
    <col width="3" customWidth="1" min="7" max="7"/>
    <col width="56" customWidth="1" min="8" max="8"/>
  </cols>
  <sheetData>
    <row r="1" ht="24" customHeight="1">
      <c r="A1" s="1" t="inlineStr">
        <is>
          <t>Resource allocation model</t>
        </is>
      </c>
    </row>
    <row r="2">
      <c r="A2" s="2" t="inlineStr">
        <is>
          <t>Yellow cells are Solver decision variables. The objective cell is outlined in navy. Constraints are listed explicitly below so they can be entered into Solver as written.</t>
        </is>
      </c>
    </row>
    <row r="3">
      <c r="A3" s="3" t="n"/>
      <c r="B3" s="3" t="n"/>
      <c r="C3" s="3" t="n"/>
      <c r="D3" s="3" t="n"/>
      <c r="E3" s="3" t="n"/>
      <c r="F3" s="3" t="n"/>
      <c r="G3" s="3" t="n"/>
      <c r="H3" s="3" t="n"/>
    </row>
    <row r="4" ht="52" customHeight="1">
      <c r="A4" s="34" t="inlineStr">
        <is>
          <t>The question</t>
        </is>
      </c>
      <c r="B4" s="32" t="inlineStr">
        <is>
          <t>An incremental $1,000,000 of unrestricted funding, on top of the existing program budget, to be allocated across the four programs to maximize expected additional successful outcomes. Framed as incremental rather than total because that is the decision management actually faces: the existing program base is largely committed.</t>
        </is>
      </c>
    </row>
    <row r="6" ht="18" customHeight="1">
      <c r="A6" s="6" t="inlineStr">
        <is>
          <t>Budget</t>
        </is>
      </c>
      <c r="B6" s="7" t="n"/>
      <c r="C6" s="7" t="n"/>
      <c r="D6" s="7" t="n"/>
      <c r="E6" s="7" t="n"/>
      <c r="F6" s="7" t="n"/>
      <c r="G6" s="7" t="n"/>
      <c r="H6" s="7" t="n"/>
    </row>
    <row r="7">
      <c r="A7" s="22" t="inlineStr">
        <is>
          <t>Incremental funding available</t>
        </is>
      </c>
      <c r="B7" s="9" t="n">
        <v>1000000</v>
      </c>
    </row>
    <row r="8" ht="26" customHeight="1">
      <c r="A8" s="22" t="inlineStr">
        <is>
          <t>Administrative load</t>
        </is>
      </c>
      <c r="B8" s="16" t="n">
        <v>0.12</v>
      </c>
      <c r="H8" s="29" t="inlineStr">
        <is>
          <t>A share of any new funding must support the administrative capacity to deliver it. Ignoring this is how allocation models produce answers that cannot be executed.</t>
        </is>
      </c>
    </row>
    <row r="9">
      <c r="A9" s="22" t="inlineStr">
        <is>
          <t>Administrative provision</t>
        </is>
      </c>
      <c r="B9" s="23">
        <f>B7*B8</f>
        <v/>
      </c>
    </row>
    <row r="10">
      <c r="A10" s="14" t="inlineStr">
        <is>
          <t>Deployable to programs</t>
        </is>
      </c>
      <c r="B10" s="24">
        <f>B7-B9</f>
        <v/>
      </c>
    </row>
    <row r="12" ht="18" customHeight="1">
      <c r="A12" s="6" t="inlineStr">
        <is>
          <t>Program parameters (from 06_Program_Economics)</t>
        </is>
      </c>
      <c r="B12" s="7" t="n"/>
      <c r="C12" s="7" t="n"/>
      <c r="D12" s="7" t="n"/>
      <c r="E12" s="7" t="n"/>
      <c r="F12" s="7" t="n"/>
      <c r="G12" s="7" t="n"/>
      <c r="H12" s="7" t="n"/>
    </row>
    <row r="13" ht="30" customHeight="1">
      <c r="A13" s="4" t="inlineStr">
        <is>
          <t>Parameter</t>
        </is>
      </c>
      <c r="B13" s="5" t="inlineStr">
        <is>
          <t>Career Coaching</t>
        </is>
      </c>
      <c r="C13" s="5" t="inlineStr">
        <is>
          <t>Digital Learning</t>
        </is>
      </c>
      <c r="D13" s="5" t="inlineStr">
        <is>
          <t>Credential Support</t>
        </is>
      </c>
      <c r="E13" s="5" t="inlineStr">
        <is>
          <t>Partner Capacity</t>
        </is>
      </c>
      <c r="F13" s="5" t="inlineStr">
        <is>
          <t>Total</t>
        </is>
      </c>
      <c r="G13" s="5" t="inlineStr"/>
      <c r="H13" s="5" t="inlineStr">
        <is>
          <t>Note</t>
        </is>
      </c>
    </row>
    <row r="14" ht="26" customHeight="1">
      <c r="A14" s="8" t="inlineStr">
        <is>
          <t>Marginal cost per participant</t>
        </is>
      </c>
      <c r="B14" s="35" t="n">
        <v>3848.780517315166</v>
      </c>
      <c r="C14" s="35" t="n">
        <v>300.2028420583791</v>
      </c>
      <c r="D14" s="35" t="n">
        <v>4200.000032203241</v>
      </c>
      <c r="E14" s="35" t="n">
        <v>2022.436832979609</v>
      </c>
      <c r="H14" s="29" t="inlineStr">
        <is>
          <t>Assumed constant at current average cost. A real expansion would face rising marginal cost as the easiest-to-reach participants are exhausted; that non-linearity is acknowledged and not modelled.</t>
        </is>
      </c>
    </row>
    <row r="15">
      <c r="A15" s="8" t="inlineStr">
        <is>
          <t>Marginal cost per successful outcome</t>
        </is>
      </c>
      <c r="B15" s="35" t="n">
        <v>9163.763136464679</v>
      </c>
      <c r="C15" s="35" t="n">
        <v>6666.666717782923</v>
      </c>
      <c r="D15" s="35" t="n">
        <v>13548.38720065562</v>
      </c>
      <c r="E15" s="35" t="n">
        <v>15619.06036072204</v>
      </c>
    </row>
    <row r="16">
      <c r="A16" s="8" t="inlineStr">
        <is>
          <t>Average earnings gain per outcome</t>
        </is>
      </c>
      <c r="B16" s="9" t="n">
        <v>61000</v>
      </c>
      <c r="C16" s="9" t="n">
        <v>37000</v>
      </c>
      <c r="D16" s="9" t="n">
        <v>88000</v>
      </c>
      <c r="E16" s="9" t="n">
        <v>46500</v>
      </c>
    </row>
    <row r="17">
      <c r="A17" s="8" t="inlineStr">
        <is>
          <t>Staff hours per participant</t>
        </is>
      </c>
      <c r="B17" s="36" t="n">
        <v>39</v>
      </c>
      <c r="C17" s="36" t="n">
        <v>2.5</v>
      </c>
      <c r="D17" s="36" t="n">
        <v>60</v>
      </c>
      <c r="E17" s="36" t="n">
        <v>15.58455538221526</v>
      </c>
    </row>
    <row r="18">
      <c r="A18" s="8" t="inlineStr">
        <is>
          <t>Current participants</t>
        </is>
      </c>
      <c r="B18" s="9" t="n">
        <v>2050</v>
      </c>
      <c r="C18" s="9" t="n">
        <v>7395</v>
      </c>
      <c r="D18" s="9" t="n">
        <v>700</v>
      </c>
      <c r="E18" s="9" t="n">
        <v>641</v>
      </c>
      <c r="F18" s="37">
        <f>SUM(B18:E18)</f>
        <v/>
      </c>
    </row>
    <row r="19">
      <c r="A19" s="8" t="inlineStr">
        <is>
          <t>Maximum servable participants</t>
        </is>
      </c>
      <c r="B19" s="9" t="n">
        <v>3400</v>
      </c>
      <c r="C19" s="9" t="n">
        <v>15000</v>
      </c>
      <c r="D19" s="9" t="n">
        <v>1150</v>
      </c>
      <c r="E19" s="9" t="n">
        <v>1500</v>
      </c>
      <c r="F19" s="37">
        <f>SUM(B19:E19)</f>
        <v/>
      </c>
    </row>
    <row r="20" ht="26" customHeight="1">
      <c r="A20" s="8" t="inlineStr">
        <is>
          <t>Capacity headroom (participants)</t>
        </is>
      </c>
      <c r="B20" s="9" t="n">
        <v>1350</v>
      </c>
      <c r="C20" s="9" t="n">
        <v>7605</v>
      </c>
      <c r="D20" s="9" t="n">
        <v>450</v>
      </c>
      <c r="E20" s="9" t="n">
        <v>859</v>
      </c>
      <c r="F20" s="37">
        <f>SUM(B20:E20)</f>
        <v/>
      </c>
      <c r="H20" s="29" t="inlineStr">
        <is>
          <t>What the allocation model can actually buy in each program.</t>
        </is>
      </c>
    </row>
    <row r="22" ht="18" customHeight="1">
      <c r="A22" s="6" t="inlineStr">
        <is>
          <t>Decision variables  -  Solver changes these</t>
        </is>
      </c>
      <c r="B22" s="7" t="n"/>
      <c r="C22" s="7" t="n"/>
      <c r="D22" s="7" t="n"/>
      <c r="E22" s="7" t="n"/>
      <c r="F22" s="7" t="n"/>
      <c r="G22" s="7" t="n"/>
      <c r="H22" s="7" t="n"/>
    </row>
    <row r="23" ht="22" customHeight="1">
      <c r="A23" s="14" t="inlineStr">
        <is>
          <t>Allocation to each program</t>
        </is>
      </c>
      <c r="B23" s="38" t="n">
        <v>308000</v>
      </c>
      <c r="C23" s="38" t="n">
        <v>484000</v>
      </c>
      <c r="D23" s="38" t="n">
        <v>44000</v>
      </c>
      <c r="E23" s="38" t="n">
        <v>44000</v>
      </c>
      <c r="F23" s="39">
        <f>SUM(B23:E23)</f>
        <v/>
      </c>
      <c r="H23" s="40" t="inlineStr">
        <is>
          <t>Pre-seeded with the optimal answer so the workbook reads correctly without running Solver. Clear them to zero and re-solve to verify.</t>
        </is>
      </c>
    </row>
    <row r="24">
      <c r="A24" s="41" t="inlineStr">
        <is>
          <t>Share of deployable funding</t>
        </is>
      </c>
      <c r="B24" s="42">
        <f>B23/$B$10</f>
        <v/>
      </c>
      <c r="C24" s="42">
        <f>C23/$B$10</f>
        <v/>
      </c>
      <c r="D24" s="42">
        <f>D23/$B$10</f>
        <v/>
      </c>
      <c r="E24" s="42">
        <f>E23/$B$10</f>
        <v/>
      </c>
    </row>
    <row r="26" ht="18" customHeight="1">
      <c r="A26" s="6" t="inlineStr">
        <is>
          <t>What the allocation buys</t>
        </is>
      </c>
      <c r="B26" s="7" t="n"/>
      <c r="C26" s="7" t="n"/>
      <c r="D26" s="7" t="n"/>
      <c r="E26" s="7" t="n"/>
      <c r="F26" s="7" t="n"/>
      <c r="G26" s="7" t="n"/>
      <c r="H26" s="7" t="n"/>
    </row>
    <row r="27">
      <c r="A27" s="22" t="inlineStr">
        <is>
          <t>Additional participants</t>
        </is>
      </c>
      <c r="B27" s="43">
        <f>B23/B14</f>
        <v/>
      </c>
      <c r="C27" s="43">
        <f>C23/C14</f>
        <v/>
      </c>
      <c r="D27" s="43">
        <f>D23/D14</f>
        <v/>
      </c>
      <c r="E27" s="43">
        <f>E23/E14</f>
        <v/>
      </c>
      <c r="F27" s="44">
        <f>SUM(B27:E27)</f>
        <v/>
      </c>
    </row>
    <row r="28">
      <c r="A28" s="14" t="inlineStr">
        <is>
          <t>Additional successful outcomes</t>
        </is>
      </c>
      <c r="B28" s="45">
        <f>B23/B15</f>
        <v/>
      </c>
      <c r="C28" s="45">
        <f>C23/C15</f>
        <v/>
      </c>
      <c r="D28" s="45">
        <f>D23/D15</f>
        <v/>
      </c>
      <c r="E28" s="45">
        <f>E23/E15</f>
        <v/>
      </c>
      <c r="F28" s="44">
        <f>SUM(B28:E28)</f>
        <v/>
      </c>
    </row>
    <row r="29">
      <c r="A29" s="22" t="inlineStr">
        <is>
          <t>Additional earnings gain</t>
        </is>
      </c>
      <c r="B29" s="18">
        <f>B28*B16</f>
        <v/>
      </c>
      <c r="C29" s="18">
        <f>C28*C16</f>
        <v/>
      </c>
      <c r="D29" s="18">
        <f>D28*D16</f>
        <v/>
      </c>
      <c r="E29" s="18">
        <f>E28*E16</f>
        <v/>
      </c>
      <c r="F29" s="37">
        <f>SUM(B29:E29)</f>
        <v/>
      </c>
    </row>
    <row r="30">
      <c r="A30" s="22" t="inlineStr">
        <is>
          <t>Additional staff hours required</t>
        </is>
      </c>
      <c r="B30" s="43">
        <f>B27*B17</f>
        <v/>
      </c>
      <c r="C30" s="43">
        <f>C27*C17</f>
        <v/>
      </c>
      <c r="D30" s="43">
        <f>D27*D17</f>
        <v/>
      </c>
      <c r="E30" s="43">
        <f>E27*E17</f>
        <v/>
      </c>
      <c r="F30" s="44">
        <f>SUM(B30:E30)</f>
        <v/>
      </c>
    </row>
    <row r="31">
      <c r="A31" s="22" t="inlineStr">
        <is>
          <t>Participants after allocation</t>
        </is>
      </c>
      <c r="B31" s="43">
        <f>B18+B27</f>
        <v/>
      </c>
      <c r="C31" s="43">
        <f>C18+C27</f>
        <v/>
      </c>
      <c r="D31" s="43">
        <f>D18+D27</f>
        <v/>
      </c>
      <c r="E31" s="43">
        <f>E18+E27</f>
        <v/>
      </c>
      <c r="F31" s="44">
        <f>SUM(B31:E31)</f>
        <v/>
      </c>
    </row>
    <row r="32" ht="26" customHeight="1">
      <c r="A32" s="22" t="inlineStr">
        <is>
          <t>Capacity utilisation after allocation</t>
        </is>
      </c>
      <c r="B32" s="46">
        <f>B31/B19</f>
        <v/>
      </c>
      <c r="C32" s="46">
        <f>C31/C19</f>
        <v/>
      </c>
      <c r="D32" s="46">
        <f>D31/D19</f>
        <v/>
      </c>
      <c r="E32" s="46">
        <f>E31/E19</f>
        <v/>
      </c>
      <c r="F32" s="47">
        <f>SUM(B32:E32)</f>
        <v/>
      </c>
      <c r="H32" s="29" t="inlineStr">
        <is>
          <t>Must not exceed 100%. That is the capacity constraint.</t>
        </is>
      </c>
    </row>
    <row r="34" ht="18" customHeight="1">
      <c r="A34" s="6" t="inlineStr">
        <is>
          <t>Objective cell  -  Solver maximises this</t>
        </is>
      </c>
      <c r="B34" s="7" t="n"/>
      <c r="C34" s="7" t="n"/>
      <c r="D34" s="7" t="n"/>
      <c r="E34" s="7" t="n"/>
      <c r="F34" s="7" t="n"/>
      <c r="G34" s="7" t="n"/>
      <c r="H34" s="7" t="n"/>
    </row>
    <row r="35" ht="24" customHeight="1">
      <c r="A35" s="48" t="inlineStr">
        <is>
          <t>Total additional successful outcomes</t>
        </is>
      </c>
      <c r="B35" s="49">
        <f>F28</f>
        <v/>
      </c>
    </row>
    <row r="36">
      <c r="A36" s="22" t="inlineStr">
        <is>
          <t>Total additional earnings gain (alternative objective)</t>
        </is>
      </c>
      <c r="B36" s="24">
        <f>F29</f>
        <v/>
      </c>
    </row>
    <row r="37">
      <c r="A37" s="22" t="inlineStr">
        <is>
          <t>Average earnings gain per outcome funded</t>
        </is>
      </c>
      <c r="B37" s="23">
        <f>F29/F28</f>
        <v/>
      </c>
    </row>
    <row r="38">
      <c r="A38" s="22" t="inlineStr">
        <is>
          <t>Blended cost per additional outcome</t>
        </is>
      </c>
      <c r="B38" s="30">
        <f>B10/F28</f>
        <v/>
      </c>
    </row>
    <row r="40" ht="18" customHeight="1">
      <c r="A40" s="6" t="inlineStr">
        <is>
          <t>Constraints  -  enter these into Solver as written</t>
        </is>
      </c>
      <c r="B40" s="7" t="n"/>
      <c r="C40" s="7" t="n"/>
      <c r="D40" s="7" t="n"/>
      <c r="E40" s="7" t="n"/>
      <c r="F40" s="7" t="n"/>
      <c r="G40" s="7" t="n"/>
      <c r="H40" s="7" t="n"/>
    </row>
    <row r="41" ht="30" customHeight="1">
      <c r="A41" s="4" t="inlineStr">
        <is>
          <t>Constraint</t>
        </is>
      </c>
      <c r="B41" s="5" t="inlineStr">
        <is>
          <t>Cell reference</t>
        </is>
      </c>
      <c r="C41" s="5" t="inlineStr">
        <is>
          <t>Operator</t>
        </is>
      </c>
      <c r="D41" s="5" t="inlineStr">
        <is>
          <t>Limit</t>
        </is>
      </c>
      <c r="E41" s="5" t="inlineStr">
        <is>
          <t>Current value</t>
        </is>
      </c>
      <c r="F41" s="5" t="inlineStr">
        <is>
          <t>Status</t>
        </is>
      </c>
      <c r="G41" s="5" t="inlineStr"/>
      <c r="H41" s="5" t="inlineStr">
        <is>
          <t>Why it exists</t>
        </is>
      </c>
    </row>
    <row r="42" ht="26" customHeight="1">
      <c r="A42" s="8" t="inlineStr">
        <is>
          <t>Total allocation within deployable budget</t>
        </is>
      </c>
      <c r="B42" s="50" t="inlineStr">
        <is>
          <t>$F$23</t>
        </is>
      </c>
      <c r="C42" s="51" t="inlineStr">
        <is>
          <t>&lt;=</t>
        </is>
      </c>
      <c r="D42" s="52">
        <f>B10</f>
        <v/>
      </c>
      <c r="E42" s="52">
        <f>F23</f>
        <v/>
      </c>
      <c r="F42" s="53">
        <f>IF(E42&lt;=D42+0.01,IF(ABS(E42-D42)&lt;0.01,"BINDING","ok"),"VIOLATED")</f>
        <v/>
      </c>
      <c r="H42" s="29" t="inlineStr">
        <is>
          <t>The organization cannot spend money it does not have.</t>
        </is>
      </c>
    </row>
    <row r="43" ht="26" customHeight="1">
      <c r="A43" s="8" t="inlineStr">
        <is>
          <t>Career Coaching: minimum share</t>
        </is>
      </c>
      <c r="B43" s="50" t="inlineStr">
        <is>
          <t>$B$23</t>
        </is>
      </c>
      <c r="C43" s="51" t="inlineStr">
        <is>
          <t>&gt;=</t>
        </is>
      </c>
      <c r="D43" s="52">
        <f>$B$10*0.05</f>
        <v/>
      </c>
      <c r="E43" s="52">
        <f>B23</f>
        <v/>
      </c>
      <c r="F43" s="53">
        <f>IF(E43&gt;=D43-0.01,IF(ABS(E43-D43)&lt;0.01,"BINDING","ok"),"VIOLATED")</f>
        <v/>
      </c>
      <c r="H43" s="29" t="inlineStr">
        <is>
          <t>No program is starved to zero. Abrupt defunding destroys delivery teams that take years to rebuild.</t>
        </is>
      </c>
    </row>
    <row r="44">
      <c r="A44" s="8" t="inlineStr">
        <is>
          <t>Digital Learning: minimum share</t>
        </is>
      </c>
      <c r="B44" s="50" t="inlineStr">
        <is>
          <t>$C$23</t>
        </is>
      </c>
      <c r="C44" s="51" t="inlineStr">
        <is>
          <t>&gt;=</t>
        </is>
      </c>
      <c r="D44" s="52">
        <f>$B$10*0.05</f>
        <v/>
      </c>
      <c r="E44" s="52">
        <f>C23</f>
        <v/>
      </c>
      <c r="F44" s="53">
        <f>IF(E44&gt;=D44-0.01,IF(ABS(E44-D44)&lt;0.01,"BINDING","ok"),"VIOLATED")</f>
        <v/>
      </c>
    </row>
    <row r="45">
      <c r="A45" s="8" t="inlineStr">
        <is>
          <t>Credential Support: minimum share</t>
        </is>
      </c>
      <c r="B45" s="50" t="inlineStr">
        <is>
          <t>$D$23</t>
        </is>
      </c>
      <c r="C45" s="51" t="inlineStr">
        <is>
          <t>&gt;=</t>
        </is>
      </c>
      <c r="D45" s="52">
        <f>$B$10*0.05</f>
        <v/>
      </c>
      <c r="E45" s="52">
        <f>D23</f>
        <v/>
      </c>
      <c r="F45" s="53">
        <f>IF(E45&gt;=D45-0.01,IF(ABS(E45-D45)&lt;0.01,"BINDING","ok"),"VIOLATED")</f>
        <v/>
      </c>
    </row>
    <row r="46">
      <c r="A46" s="8" t="inlineStr">
        <is>
          <t>Partner Capacity: minimum share</t>
        </is>
      </c>
      <c r="B46" s="50" t="inlineStr">
        <is>
          <t>$E$23</t>
        </is>
      </c>
      <c r="C46" s="51" t="inlineStr">
        <is>
          <t>&gt;=</t>
        </is>
      </c>
      <c r="D46" s="52">
        <f>$B$10*0.05</f>
        <v/>
      </c>
      <c r="E46" s="52">
        <f>E23</f>
        <v/>
      </c>
      <c r="F46" s="53">
        <f>IF(E46&gt;=D46-0.01,IF(ABS(E46-D46)&lt;0.01,"BINDING","ok"),"VIOLATED")</f>
        <v/>
      </c>
    </row>
    <row r="47" ht="26" customHeight="1">
      <c r="A47" s="8" t="inlineStr">
        <is>
          <t>Career Coaching: maximum share</t>
        </is>
      </c>
      <c r="B47" s="50" t="inlineStr">
        <is>
          <t>$B$23</t>
        </is>
      </c>
      <c r="C47" s="51" t="inlineStr">
        <is>
          <t>&lt;=</t>
        </is>
      </c>
      <c r="D47" s="52">
        <f>$B$10*0.55</f>
        <v/>
      </c>
      <c r="E47" s="52">
        <f>B23</f>
        <v/>
      </c>
      <c r="F47" s="53">
        <f>IF(E47&lt;=D47+0.01,IF(ABS(E47-D47)&lt;0.01,"BINDING","ok"),"VIOLATED")</f>
        <v/>
      </c>
      <c r="H47" s="29" t="inlineStr">
        <is>
          <t>Concentration limit. A single-program bet is not a portfolio.</t>
        </is>
      </c>
    </row>
    <row r="48">
      <c r="A48" s="8" t="inlineStr">
        <is>
          <t>Digital Learning: maximum share</t>
        </is>
      </c>
      <c r="B48" s="50" t="inlineStr">
        <is>
          <t>$C$23</t>
        </is>
      </c>
      <c r="C48" s="51" t="inlineStr">
        <is>
          <t>&lt;=</t>
        </is>
      </c>
      <c r="D48" s="52">
        <f>$B$10*0.55</f>
        <v/>
      </c>
      <c r="E48" s="52">
        <f>C23</f>
        <v/>
      </c>
      <c r="F48" s="53">
        <f>IF(E48&lt;=D48+0.01,IF(ABS(E48-D48)&lt;0.01,"BINDING","ok"),"VIOLATED")</f>
        <v/>
      </c>
    </row>
    <row r="49">
      <c r="A49" s="8" t="inlineStr">
        <is>
          <t>Credential Support: maximum share</t>
        </is>
      </c>
      <c r="B49" s="50" t="inlineStr">
        <is>
          <t>$D$23</t>
        </is>
      </c>
      <c r="C49" s="51" t="inlineStr">
        <is>
          <t>&lt;=</t>
        </is>
      </c>
      <c r="D49" s="52">
        <f>$B$10*0.55</f>
        <v/>
      </c>
      <c r="E49" s="52">
        <f>D23</f>
        <v/>
      </c>
      <c r="F49" s="53">
        <f>IF(E49&lt;=D49+0.01,IF(ABS(E49-D49)&lt;0.01,"BINDING","ok"),"VIOLATED")</f>
        <v/>
      </c>
    </row>
    <row r="50">
      <c r="A50" s="8" t="inlineStr">
        <is>
          <t>Partner Capacity: maximum share</t>
        </is>
      </c>
      <c r="B50" s="50" t="inlineStr">
        <is>
          <t>$E$23</t>
        </is>
      </c>
      <c r="C50" s="51" t="inlineStr">
        <is>
          <t>&lt;=</t>
        </is>
      </c>
      <c r="D50" s="52">
        <f>$B$10*0.55</f>
        <v/>
      </c>
      <c r="E50" s="52">
        <f>E23</f>
        <v/>
      </c>
      <c r="F50" s="53">
        <f>IF(E50&lt;=D50+0.01,IF(ABS(E50-D50)&lt;0.01,"BINDING","ok"),"VIOLATED")</f>
        <v/>
      </c>
    </row>
    <row r="51" ht="26" customHeight="1">
      <c r="A51" s="8" t="inlineStr">
        <is>
          <t>Career Coaching: capacity ceiling</t>
        </is>
      </c>
      <c r="B51" s="50" t="inlineStr">
        <is>
          <t>$B$31</t>
        </is>
      </c>
      <c r="C51" s="51" t="inlineStr">
        <is>
          <t>&lt;=</t>
        </is>
      </c>
      <c r="D51" s="52">
        <f>$B$19</f>
        <v/>
      </c>
      <c r="E51" s="52">
        <f>B31</f>
        <v/>
      </c>
      <c r="F51" s="53">
        <f>IF(E51&lt;=D51+0.01,IF(ABS(E51-D51)&lt;0.01,"BINDING","ok"),"VIOLATED")</f>
        <v/>
      </c>
      <c r="H51" s="29" t="inlineStr">
        <is>
          <t>Demand and delivery ceiling. Money cannot buy participants who are not there.</t>
        </is>
      </c>
    </row>
    <row r="52">
      <c r="A52" s="8" t="inlineStr">
        <is>
          <t>Digital Learning: capacity ceiling</t>
        </is>
      </c>
      <c r="B52" s="50" t="inlineStr">
        <is>
          <t>$C$31</t>
        </is>
      </c>
      <c r="C52" s="51" t="inlineStr">
        <is>
          <t>&lt;=</t>
        </is>
      </c>
      <c r="D52" s="52">
        <f>$C$19</f>
        <v/>
      </c>
      <c r="E52" s="52">
        <f>C31</f>
        <v/>
      </c>
      <c r="F52" s="53">
        <f>IF(E52&lt;=D52+0.01,IF(ABS(E52-D52)&lt;0.01,"BINDING","ok"),"VIOLATED")</f>
        <v/>
      </c>
    </row>
    <row r="53">
      <c r="A53" s="8" t="inlineStr">
        <is>
          <t>Credential Support: capacity ceiling</t>
        </is>
      </c>
      <c r="B53" s="50" t="inlineStr">
        <is>
          <t>$D$31</t>
        </is>
      </c>
      <c r="C53" s="51" t="inlineStr">
        <is>
          <t>&lt;=</t>
        </is>
      </c>
      <c r="D53" s="52">
        <f>$D$19</f>
        <v/>
      </c>
      <c r="E53" s="52">
        <f>D31</f>
        <v/>
      </c>
      <c r="F53" s="53">
        <f>IF(E53&lt;=D53+0.01,IF(ABS(E53-D53)&lt;0.01,"BINDING","ok"),"VIOLATED")</f>
        <v/>
      </c>
    </row>
    <row r="54">
      <c r="A54" s="8" t="inlineStr">
        <is>
          <t>Partner Capacity: capacity ceiling</t>
        </is>
      </c>
      <c r="B54" s="50" t="inlineStr">
        <is>
          <t>$E$31</t>
        </is>
      </c>
      <c r="C54" s="51" t="inlineStr">
        <is>
          <t>&lt;=</t>
        </is>
      </c>
      <c r="D54" s="52">
        <f>$E$19</f>
        <v/>
      </c>
      <c r="E54" s="52">
        <f>E31</f>
        <v/>
      </c>
      <c r="F54" s="53">
        <f>IF(E54&lt;=D54+0.01,IF(ABS(E54-D54)&lt;0.01,"BINDING","ok"),"VIOLATED")</f>
        <v/>
      </c>
    </row>
    <row r="55" ht="26" customHeight="1">
      <c r="A55" s="8" t="inlineStr">
        <is>
          <t>Incremental staff hours available</t>
        </is>
      </c>
      <c r="B55" s="50" t="inlineStr">
        <is>
          <t>$F$30</t>
        </is>
      </c>
      <c r="C55" s="51" t="inlineStr">
        <is>
          <t>&lt;=</t>
        </is>
      </c>
      <c r="D55" s="52" t="n">
        <v>42000</v>
      </c>
      <c r="E55" s="52">
        <f>F30</f>
        <v/>
      </c>
      <c r="F55" s="53">
        <f>IF(E55&lt;=D55+0.01,IF(ABS(E55-D55)&lt;0.01,"BINDING","ok"),"VIOLATED")</f>
        <v/>
      </c>
      <c r="H55" s="29" t="inlineStr">
        <is>
          <t>Staff capacity is a separate scarce input from money and binds independently.</t>
        </is>
      </c>
    </row>
    <row r="56" ht="26" customHeight="1">
      <c r="A56" s="8" t="inlineStr">
        <is>
          <t>All allocations non-negative</t>
        </is>
      </c>
      <c r="B56" s="50" t="inlineStr">
        <is>
          <t>$B$23:$E$23</t>
        </is>
      </c>
      <c r="C56" s="51" t="inlineStr">
        <is>
          <t>&gt;=</t>
        </is>
      </c>
      <c r="D56" s="52" t="n">
        <v>0</v>
      </c>
      <c r="E56" s="52">
        <f>MIN(B23:E23)</f>
        <v/>
      </c>
      <c r="F56" s="53">
        <f>IF(E56&gt;=D56-0.01,IF(ABS(E56-D56)&lt;0.01,"BINDING","ok"),"VIOLATED")</f>
        <v/>
      </c>
      <c r="H56" s="29" t="inlineStr">
        <is>
          <t>Funding cannot be withdrawn from a program through this model.</t>
        </is>
      </c>
    </row>
    <row r="58">
      <c r="A58" s="54" t="inlineStr">
        <is>
          <t>All constraints satisfied</t>
        </is>
      </c>
      <c r="F58" s="55">
        <f>IF(COUNTIF(F42:F56,"VIOLATED")=0,"FEASIBLE","INFEASIBLE")</f>
        <v/>
      </c>
    </row>
    <row r="60" ht="30" customHeight="1">
      <c r="A60" s="56"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2">
    <mergeCell ref="A60:H60"/>
    <mergeCell ref="B4:H4"/>
  </mergeCells>
  <conditionalFormatting sqref="F42:F56">
    <cfRule type="cellIs" priority="1" operator="equal" dxfId="0">
      <formula>"VIOLATED"</formula>
    </cfRule>
    <cfRule type="cellIs" priority="2" operator="equal" dxfId="1">
      <formula>"BINDING"</formula>
    </cfRule>
  </conditionalFormatting>
  <pageMargins left="0.75" right="0.75" top="1" bottom="1" header="0.5" footer="0.5"/>
</worksheet>
</file>

<file path=xl/worksheets/sheet5.xml><?xml version="1.0" encoding="utf-8"?>
<worksheet xmlns="http://schemas.openxmlformats.org/spreadsheetml/2006/main">
  <sheetPr>
    <tabColor rgb="005F6B7A"/>
    <outlinePr summaryBelow="1" summaryRight="1"/>
    <pageSetUpPr/>
  </sheetPr>
  <dimension ref="A1:C20"/>
  <sheetViews>
    <sheetView showGridLines="0" workbookViewId="0">
      <selection activeCell="A1" sqref="A1"/>
    </sheetView>
  </sheetViews>
  <sheetFormatPr baseColWidth="8" defaultRowHeight="15"/>
  <cols>
    <col width="3" customWidth="1" min="1" max="1"/>
    <col width="26" customWidth="1" min="2" max="2"/>
    <col width="88" customWidth="1" min="3" max="3"/>
  </cols>
  <sheetData>
    <row r="1" ht="24" customHeight="1">
      <c r="A1" s="1" t="inlineStr">
        <is>
          <t>Running this in Excel Solver</t>
        </is>
      </c>
    </row>
    <row r="2">
      <c r="A2" s="2" t="inlineStr">
        <is>
          <t>The decision cells are pre-seeded with the optimal answer. These steps reproduce it from scratch.</t>
        </is>
      </c>
    </row>
    <row r="3">
      <c r="A3" s="3" t="n"/>
      <c r="B3" s="3" t="n"/>
      <c r="C3" s="3" t="n"/>
    </row>
    <row r="4" ht="26" customHeight="1">
      <c r="B4" s="57" t="inlineStr">
        <is>
          <t>1. Enable Solver</t>
        </is>
      </c>
      <c r="C4" s="32" t="inlineStr">
        <is>
          <t>File &gt; Options &gt; Add-ins &gt; Manage Excel Add-ins &gt; Go, then tick Solver Add-in. It appears on the Data tab. On Mac it is Tools &gt; Excel Add-ins.</t>
        </is>
      </c>
    </row>
    <row r="5" ht="26" customHeight="1">
      <c r="B5" s="57" t="inlineStr">
        <is>
          <t>2. Clear the decision cells</t>
        </is>
      </c>
      <c r="C5" s="32" t="inlineStr">
        <is>
          <t>On 'Allocation model', set B23:E23 to zero. If Solver reproduces the seeded values from a cold start, the model is doing what it claims.</t>
        </is>
      </c>
    </row>
    <row r="6" ht="13" customHeight="1">
      <c r="B6" s="57" t="inlineStr">
        <is>
          <t>3. Set the objective</t>
        </is>
      </c>
      <c r="C6" s="32" t="inlineStr">
        <is>
          <t>Data &gt; Solver. Set Objective to $B$35 on 'Allocation model' and choose Max.</t>
        </is>
      </c>
    </row>
    <row r="7" ht="13" customHeight="1">
      <c r="B7" s="57" t="inlineStr">
        <is>
          <t>4. Set the decision variables</t>
        </is>
      </c>
      <c r="C7" s="32" t="inlineStr">
        <is>
          <t>By Changing Variable Cells: $B$23:$E$23.</t>
        </is>
      </c>
    </row>
    <row r="8" ht="39" customHeight="1">
      <c r="B8" s="57" t="inlineStr">
        <is>
          <t>5. Add the constraints</t>
        </is>
      </c>
      <c r="C8" s="32" t="inlineStr">
        <is>
          <t>Add each row from the constraints block on 'Allocation model' (rows 42 to 56). Cell reference is column B, operator column C, and the limit is the cell in column D. For example: $F$23 &lt;= $B$10.</t>
        </is>
      </c>
    </row>
    <row r="9" ht="39" customHeight="1">
      <c r="B9" s="57" t="inlineStr">
        <is>
          <t>6. Choose the solving method</t>
        </is>
      </c>
      <c r="C9" s="32" t="inlineStr">
        <is>
          <t>Simplex LP. The model is linear in the decision variables - every outcome and cost term is a constant multiplied by an allocation - so Simplex is both correct and fast. Tick 'Make Unconstrained Variables Non-Negative'.</t>
        </is>
      </c>
    </row>
    <row r="10" ht="39" customHeight="1">
      <c r="B10" s="57" t="inlineStr">
        <is>
          <t>7. Solve</t>
        </is>
      </c>
      <c r="C10" s="32" t="inlineStr">
        <is>
          <t>Solver should report an optimal solution and reproduce the seeded allocation. The Answer and Sensitivity reports are worth generating: the Sensitivity report gives shadow prices, which tell you what one more dollar or one more staff hour would be worth at the margin.</t>
        </is>
      </c>
    </row>
    <row r="11" ht="39" customHeight="1">
      <c r="B11" s="57" t="inlineStr">
        <is>
          <t>8. Change the objective</t>
        </is>
      </c>
      <c r="C11" s="32" t="inlineStr">
        <is>
          <t>To reproduce the earnings-maximising answer on 'Objective comparison', set the objective to $B$36 instead and re-solve. To reproduce the balanced answer, keep $B$35 as the objective and add one further constraint: $B$37 &gt;= 48000.</t>
        </is>
      </c>
    </row>
    <row r="13" ht="18" customHeight="1">
      <c r="A13" s="6" t="inlineStr">
        <is>
          <t>Independent check</t>
        </is>
      </c>
      <c r="B13" s="7" t="n"/>
      <c r="C13" s="7" t="n"/>
    </row>
    <row r="14" ht="65" customHeight="1">
      <c r="B14" s="32" t="inlineStr">
        <is>
          <t>The same problem is solved independently in Python using the CBC linear programming solver, in src/engine.py. It reports status 'Optimal' with a total of 112.28 additional placements from $880,000 of deployable funding. The automated test suite in tests/ recalculates this workbook and checks that the Excel objective cell agrees with the Python solution to within a rounding tolerance. Two independent implementations agreeing is a much stronger claim than one implementation being self-consistent.</t>
        </is>
      </c>
    </row>
    <row r="16" ht="18" customHeight="1">
      <c r="A16" s="6" t="inlineStr">
        <is>
          <t>Known limitations of this formulation</t>
        </is>
      </c>
      <c r="B16" s="7" t="n"/>
      <c r="C16" s="7" t="n"/>
    </row>
    <row r="17" ht="39" customHeight="1">
      <c r="B17" s="58" t="inlineStr">
        <is>
          <t>- Marginal cost per outcome is assumed constant at current average cost. Real expansion faces rising marginal cost, and the effect is strongest for the cheapest program, so the linear model overstates the case for concentrating funding there.</t>
        </is>
      </c>
    </row>
    <row r="18" ht="26" customHeight="1">
      <c r="B18" s="58" t="inlineStr">
        <is>
          <t>- Outcome rates are held at their current levels. A program that doubles in size may well convert at a lower rate as it reaches further down the demand curve.</t>
        </is>
      </c>
    </row>
    <row r="19" ht="39" customHeight="1">
      <c r="B19" s="58" t="inlineStr">
        <is>
          <t>- The model allocates one year of incremental funding. It says nothing about the multi-year commitments that program expansion actually requires - hiring, leases, partner contracts - which are far harder to reverse than an annual budget line.</t>
        </is>
      </c>
    </row>
    <row r="20" ht="39" customHeight="1">
      <c r="B20" s="58" t="inlineStr">
        <is>
          <t>- Earnings gain is treated as the only measure of outcome quality. Job durability, career trajectory, and the value of serving harder-to-place participants are all excluded, and all three would plausibly favour the more intensive programs.</t>
        </is>
      </c>
    </row>
  </sheetData>
  <mergeCells count="5">
    <mergeCell ref="B19:C19"/>
    <mergeCell ref="B20:C20"/>
    <mergeCell ref="B14:C14"/>
    <mergeCell ref="B17:C17"/>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2026-09-10T18:12:48Z</dcterms:created>
  <dcterms:modified xmlns:dcterms="http://purl.org/dc/terms/" xmlns:xsi="http://www.w3.org/2001/XMLSchema-instance" xsi:type="dcterms:W3CDTF">2026-09-10T18:12:48Z</dcterms:modified>
</cp:coreProperties>
</file>